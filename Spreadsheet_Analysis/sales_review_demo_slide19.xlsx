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612d46fd9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eb9b5a4d0cc4d40"/>
    <x:sheet xmlns:r="http://schemas.openxmlformats.org/officeDocument/2006/relationships" name="Sales_Data" sheetId="2" r:id="Re807ec85262a40ca"/>
    <x:sheet xmlns:r="http://schemas.openxmlformats.org/officeDocument/2006/relationships" name="Product_Targets" sheetId="3" r:id="R457156390ebd4f5c"/>
    <x:sheet xmlns:r="http://schemas.openxmlformats.org/officeDocument/2006/relationships" name="Data_Dictionary" sheetId="4" r:id="R217d1a98b092491d"/>
    <x:sheet xmlns:r="http://schemas.openxmlformats.org/officeDocument/2006/relationships" name="Analysis_Request" sheetId="5" r:id="R439ee325845d4e49"/>
    <x:sheet xmlns:r="http://schemas.openxmlformats.org/officeDocument/2006/relationships" name="Mini_Dashboard" sheetId="6" r:id="R7b47d9ef0d0a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#,##0"/>
  </x:numFmts>
  <x:fonts count="4">
    <x:font>
      <x:sz val="11"/>
      <x:name val="Carlito"/>
    </x:font>
    <x:font>
      <x:b/>
      <x:sz val="16"/>
      <x:color rgb="111827"/>
      <x:name val="Carlito"/>
    </x:font>
    <x:font>
      <x:b/>
      <x:sz val="11"/>
      <x:color rgb="B91C1C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B91C1C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4f2b1ed7547a0" /><Relationship Type="http://schemas.openxmlformats.org/officeDocument/2006/relationships/theme" Target="/xl/theme/theme1.xml" Id="R0008f99f906444ff" /><Relationship Type="http://schemas.openxmlformats.org/officeDocument/2006/relationships/sharedStrings" Target="/xl/sharedStrings.xml" Id="R096dfd4bb0834de2" /><Relationship Type="http://schemas.openxmlformats.org/officeDocument/2006/relationships/worksheet" Target="/xl/worksheets/sheet1.xml" Id="Rfeb9b5a4d0cc4d40" /><Relationship Type="http://schemas.openxmlformats.org/officeDocument/2006/relationships/worksheet" Target="/xl/worksheets/sheet2.xml" Id="Re807ec85262a40ca" /><Relationship Type="http://schemas.openxmlformats.org/officeDocument/2006/relationships/worksheet" Target="/xl/worksheets/sheet3.xml" Id="R457156390ebd4f5c" /><Relationship Type="http://schemas.openxmlformats.org/officeDocument/2006/relationships/worksheet" Target="/xl/worksheets/sheet4.xml" Id="R217d1a98b092491d" /><Relationship Type="http://schemas.openxmlformats.org/officeDocument/2006/relationships/worksheet" Target="/xl/worksheets/sheet5.xml" Id="R439ee325845d4e49" /><Relationship Type="http://schemas.openxmlformats.org/officeDocument/2006/relationships/worksheet" Target="/xl/worksheets/sheet6.xml" Id="R7b47d9ef0d0a40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55d3332eb944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Product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Revenue</c:v>
          </c:tx>
          <c:cat>
            <c:strRef>
              <c:f>'Mini_Dashboard'!$A$4:$A$9</c:f>
              <c:strCache>
                <c:ptCount val="0"/>
              </c:strCache>
            </c:strRef>
          </c:cat>
          <c:val>
            <c:numRef>
              <c:f>'Mini_Dashboard'!$B$4:$B$9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55d3332eb944e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Table" displayName="SalesDataTable" ref="A1:M191" headerRowCount="1">
  <x:tableColumns count="13">
    <x:tableColumn id="1" name="Date"/>
    <x:tableColumn id="2" name="Invoice_ID"/>
    <x:tableColumn id="3" name="Product"/>
    <x:tableColumn id="4" name="Category"/>
    <x:tableColumn id="5" name="Region"/>
    <x:tableColumn id="6" name="Channel"/>
    <x:tableColumn id="7" name="Units"/>
    <x:tableColumn id="8" name="Discount"/>
    <x:tableColumn id="9" name="Status"/>
    <x:tableColumn id="10" name="Revenue"/>
    <x:tableColumn id="11" name="Target"/>
    <x:tableColumn id="12" name="Achievement_%"/>
    <x:tableColumn id="13" name="Vari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110d18d5a144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98cc269de7004451" /></Relationships>
</file>

<file path=xl/worksheets/sheet1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6" t="str">
        <x:v>Slide 19 Demo - Cowork untuk Spreadsheet</x:v>
      </x:c>
    </x:row>
    <x:row r="2">
      <x:c r="A2" s="7" t="str"/>
    </x:row>
    <x:row r="3">
      <x:c r="A3" s="8" t="str">
        <x:v>Tujuan demo</x:v>
      </x:c>
    </x:row>
    <x:row r="4">
      <x:c r="A4" s="7" t="str">
        <x:v>Gunakan file ini untuk menunjukkan bagaimana Claude Cowork dapat membaca spreadsheet, menemukan pola, merangkum insight, menyarankan chart, dan menyiapkan catatan analisis.</x:v>
      </x:c>
    </x:row>
    <x:row r="5">
      <x:c r="A5" s="7" t="str"/>
    </x:row>
    <x:row r="6">
      <x:c r="A6" s="8" t="str">
        <x:v>Skenario</x:v>
      </x:c>
    </x:row>
    <x:row r="7">
      <x:c r="A7" s="7" t="str">
        <x:v>Tim sales memiliki data transaksi Juni 2026. Manager ingin ringkasan cepat untuk mengetahui performa produk, region, channel, dan masalah data yang perlu dicek.</x:v>
      </x:c>
    </x:row>
    <x:row r="8">
      <x:c r="A8" s="7" t="str"/>
    </x:row>
    <x:row r="9">
      <x:c r="A9" s="8" t="str">
        <x:v>Catatan penting</x:v>
      </x:c>
    </x:row>
    <x:row r="10">
      <x:c r="A10" s="7" t="str">
        <x:v>Data ini sepenuhnya dummy. Tidak mengandung data perusahaan atau pelanggan asli.</x:v>
      </x:c>
    </x:row>
    <x:row r="11">
      <x:c r="A11" s="7" t="str"/>
    </x:row>
    <x:row r="12">
      <x:c r="A12" s="8" t="str">
        <x:v>Instruksi singkat</x:v>
      </x:c>
    </x:row>
    <x:row r="13">
      <x:c r="A13" s="7" t="str">
        <x:v>1. Buka file ini di folder demo.</x:v>
      </x:c>
    </x:row>
    <x:row r="14">
      <x:c r="A14" s="7" t="str">
        <x:v>2. Minta Claude membaca sheet Sales_Data dan Product_Targets.</x:v>
      </x:c>
    </x:row>
    <x:row r="15">
      <x:c r="A15" s="7" t="str">
        <x:v>3. Minta Claude menampilkan rencana analisis terlebih dahulu.</x:v>
      </x:c>
    </x:row>
    <x:row r="16">
      <x:c r="A16" s="7" t="str">
        <x:v>4. Setelah disetujui, minta Claude membuat summary, finding, chart suggestion, dan next step.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8.479999542236328" hidden="0" customWidth="1"/>
    <x:col min="3" max="3" width="15.880000114440918" hidden="0" customWidth="1"/>
    <x:col min="4" max="4" width="7.269999980926514" hidden="0" customWidth="1"/>
    <x:col min="5" max="5" width="7.269999980926514" hidden="0" customWidth="1"/>
    <x:col min="6" max="6" width="8.75" hidden="0" customWidth="1"/>
    <x:col min="7" max="7" width="4.170000076293945" hidden="0" customWidth="1"/>
    <x:col min="8" max="8" width="7.130000114440918" hidden="0" customWidth="1"/>
    <x:col min="9" max="9" width="9.420000076293945" hidden="0" customWidth="1"/>
    <x:col min="10" max="10" width="8.880000114440918" hidden="0" customWidth="1"/>
    <x:col min="11" max="11" width="8.880000114440918" hidden="0" customWidth="1"/>
    <x:col min="12" max="12" width="13.1899995803833" hidden="0" customWidth="1"/>
    <x:col min="13" max="13" width="9.5600004196167" hidden="0" customWidth="1"/>
  </x:cols>
  <x:sheetData>
    <x:row r="1">
      <x:c r="A1" s="26" t="str">
        <x:v>Date</x:v>
      </x:c>
      <x:c r="B1" s="26" t="str">
        <x:v>Invoice_ID</x:v>
      </x:c>
      <x:c r="C1" s="26" t="str">
        <x:v>Product</x:v>
      </x:c>
      <x:c r="D1" s="26" t="str">
        <x:v>Category</x:v>
      </x:c>
      <x:c r="E1" s="26" t="str">
        <x:v>Region</x:v>
      </x:c>
      <x:c r="F1" s="26" t="str">
        <x:v>Channel</x:v>
      </x:c>
      <x:c r="G1" s="26" t="str">
        <x:v>Units</x:v>
      </x:c>
      <x:c r="H1" s="26" t="str">
        <x:v>Discount</x:v>
      </x:c>
      <x:c r="I1" s="26" t="str">
        <x:v>Status</x:v>
      </x:c>
      <x:c r="J1" s="26" t="str">
        <x:v>Revenue</x:v>
      </x:c>
      <x:c r="K1" s="26" t="str">
        <x:v>Target</x:v>
      </x:c>
      <x:c r="L1" s="26" t="str">
        <x:v>Achievement_%</x:v>
      </x:c>
      <x:c r="M1" s="26" t="str">
        <x:v>Variance</x:v>
      </x:c>
    </x:row>
    <x:row r="2">
      <x:c r="A2" s="27" t="n">
        <x:v>46174</x:v>
      </x:c>
      <x:c r="B2" s="7" t="str">
        <x:v>INV-1001</x:v>
      </x:c>
      <x:c r="C2" s="7" t="str">
        <x:v>Basic Analytics Pack</x:v>
      </x:c>
      <x:c r="D2" s="7" t="str">
        <x:v>Software</x:v>
      </x:c>
      <x:c r="E2" s="7" t="str">
        <x:v>Surabaya</x:v>
      </x:c>
      <x:c r="F2" s="7" t="str">
        <x:v>Partner</x:v>
      </x:c>
      <x:c r="G2" s="7" t="n">
        <x:v>1</x:v>
      </x:c>
      <x:c r="H2" s="28" t="n">
        <x:v>0</x:v>
      </x:c>
      <x:c r="I2" s="7" t="str">
        <x:v>Cancelled</x:v>
      </x:c>
      <x:c r="J2" s="29" t="n">
        <x:v>0</x:v>
      </x:c>
      <x:c r="K2" s="29" t="n">
        <x:v>1200000</x:v>
      </x:c>
      <x:c r="L2" s="28" t="n">
        <x:f>IFERROR(J2/K2,0)</x:f>
        <x:v>0</x:v>
      </x:c>
      <x:c r="M2" s="29" t="n">
        <x:f>J2-K2</x:f>
        <x:v>-1200000</x:v>
      </x:c>
    </x:row>
    <x:row r="3">
      <x:c r="A3" s="27" t="n">
        <x:v>46174</x:v>
      </x:c>
      <x:c r="B3" s="7" t="str">
        <x:v>INV-1002</x:v>
      </x:c>
      <x:c r="C3" s="7" t="str">
        <x:v>Basic Analytics Pack</x:v>
      </x:c>
      <x:c r="D3" s="7" t="str">
        <x:v>Software</x:v>
      </x:c>
      <x:c r="E3" s="7" t="str">
        <x:v>Medan</x:v>
      </x:c>
      <x:c r="F3" s="7" t="str">
        <x:v>Website</x:v>
      </x:c>
      <x:c r="G3" s="7" t="n">
        <x:v>2</x:v>
      </x:c>
      <x:c r="H3" s="28" t="n">
        <x:v>0.05</x:v>
      </x:c>
      <x:c r="I3" s="7" t="str">
        <x:v>Closed Won</x:v>
      </x:c>
      <x:c r="J3" s="29" t="n">
        <x:v>2508000</x:v>
      </x:c>
      <x:c r="K3" s="29" t="n">
        <x:v>2400000</x:v>
      </x:c>
      <x:c r="L3" s="28" t="n">
        <x:f>IFERROR(J3/K3,0)</x:f>
        <x:v>1.045</x:v>
      </x:c>
      <x:c r="M3" s="29" t="n">
        <x:f>J3-K3</x:f>
        <x:v>108000</x:v>
      </x:c>
    </x:row>
    <x:row r="4">
      <x:c r="A4" s="27" t="n">
        <x:v>46174</x:v>
      </x:c>
      <x:c r="B4" s="7" t="str">
        <x:v>INV-1003</x:v>
      </x:c>
      <x:c r="C4" s="7" t="str">
        <x:v>Basic Analytics Pack</x:v>
      </x:c>
      <x:c r="D4" s="7" t="str">
        <x:v>Software</x:v>
      </x:c>
      <x:c r="E4" s="7" t="str">
        <x:v>Jakarta</x:v>
      </x:c>
      <x:c r="F4" s="7" t="str">
        <x:v>Partner</x:v>
      </x:c>
      <x:c r="G4" s="7" t="n">
        <x:v>1</x:v>
      </x:c>
      <x:c r="H4" s="28" t="n">
        <x:v>0.1</x:v>
      </x:c>
      <x:c r="I4" s="7" t="str">
        <x:v>Pending</x:v>
      </x:c>
      <x:c r="J4" s="29" t="n">
        <x:v>562464</x:v>
      </x:c>
      <x:c r="K4" s="29" t="n">
        <x:v>1200000</x:v>
      </x:c>
      <x:c r="L4" s="28" t="n">
        <x:f>IFERROR(J4/K4,0)</x:f>
        <x:v>0.46872</x:v>
      </x:c>
      <x:c r="M4" s="29" t="n">
        <x:f>J4-K4</x:f>
        <x:v>-637536</x:v>
      </x:c>
    </x:row>
    <x:row r="5">
      <x:c r="A5" s="27" t="n">
        <x:v>46174</x:v>
      </x:c>
      <x:c r="B5" s="7" t="str">
        <x:v>INV-1004</x:v>
      </x:c>
      <x:c r="C5" s="7" t="str">
        <x:v>Basic Analytics Pack</x:v>
      </x:c>
      <x:c r="D5" s="7" t="str">
        <x:v>Software</x:v>
      </x:c>
      <x:c r="E5" s="7" t="str">
        <x:v>Medan</x:v>
      </x:c>
      <x:c r="F5" s="7" t="str">
        <x:v>Partner</x:v>
      </x:c>
      <x:c r="G5" s="7" t="n">
        <x:v>3</x:v>
      </x:c>
      <x:c r="H5" s="28" t="n">
        <x:v>0.15</x:v>
      </x:c>
      <x:c r="I5" s="7" t="str">
        <x:v>Cancelled</x:v>
      </x:c>
      <x:c r="J5" s="29" t="n">
        <x:v>0</x:v>
      </x:c>
      <x:c r="K5" s="29" t="n">
        <x:v>3600000</x:v>
      </x:c>
      <x:c r="L5" s="28" t="n">
        <x:f>IFERROR(J5/K5,0)</x:f>
        <x:v>0</x:v>
      </x:c>
      <x:c r="M5" s="29" t="n">
        <x:f>J5-K5</x:f>
        <x:v>-3600000</x:v>
      </x:c>
    </x:row>
    <x:row r="6">
      <x:c r="A6" s="27" t="n">
        <x:v>46175</x:v>
      </x:c>
      <x:c r="B6" s="7" t="str">
        <x:v>INV-1005</x:v>
      </x:c>
      <x:c r="C6" s="7" t="str">
        <x:v>Data Training Seat</x:v>
      </x:c>
      <x:c r="D6" s="7" t="str">
        <x:v>Training</x:v>
      </x:c>
      <x:c r="E6" s="7" t="str">
        <x:v>Bandung</x:v>
      </x:c>
      <x:c r="F6" s="7" t="str">
        <x:v>Referral</x:v>
      </x:c>
      <x:c r="G6" s="7" t="n">
        <x:v>2</x:v>
      </x:c>
      <x:c r="H6" s="28" t="n">
        <x:v>0</x:v>
      </x:c>
      <x:c r="I6" s="7" t="str">
        <x:v>Closed Won</x:v>
      </x:c>
      <x:c r="J6" s="29" t="n">
        <x:v>4400000</x:v>
      </x:c>
      <x:c r="K6" s="29" t="n">
        <x:v>4000000</x:v>
      </x:c>
      <x:c r="L6" s="28" t="n">
        <x:f>IFERROR(J6/K6,0)</x:f>
        <x:v>1.1</x:v>
      </x:c>
      <x:c r="M6" s="29" t="n">
        <x:f>J6-K6</x:f>
        <x:v>400000</x:v>
      </x:c>
    </x:row>
    <x:row r="7">
      <x:c r="A7" s="27" t="n">
        <x:v>46175</x:v>
      </x:c>
      <x:c r="B7" s="7" t="str">
        <x:v>INV-1006</x:v>
      </x:c>
      <x:c r="C7" s="7" t="str">
        <x:v>Pro Dashboard Pack</x:v>
      </x:c>
      <x:c r="D7" s="7" t="str">
        <x:v>Software</x:v>
      </x:c>
      <x:c r="E7" s="7" t="str">
        <x:v>Bali</x:v>
      </x:c>
      <x:c r="F7" s="7" t="str">
        <x:v>Sales Team</x:v>
      </x:c>
      <x:c r="G7" s="7" t="n">
        <x:v>1</x:v>
      </x:c>
      <x:c r="H7" s="28" t="n">
        <x:v>0</x:v>
      </x:c>
      <x:c r="I7" s="7" t="str">
        <x:v>Closed Won</x:v>
      </x:c>
      <x:c r="J7" s="29" t="n">
        <x:v>3500000</x:v>
      </x:c>
      <x:c r="K7" s="29" t="n">
        <x:v>3000000</x:v>
      </x:c>
      <x:c r="L7" s="28" t="n">
        <x:f>IFERROR(J7/K7,0)</x:f>
        <x:v>1.1666666666666667</x:v>
      </x:c>
      <x:c r="M7" s="29" t="n">
        <x:f>J7-K7</x:f>
        <x:v>500000</x:v>
      </x:c>
    </x:row>
    <x:row r="8">
      <x:c r="A8" s="27" t="n">
        <x:v>46175</x:v>
      </x:c>
      <x:c r="B8" s="7" t="str">
        <x:v>INV-1007</x:v>
      </x:c>
      <x:c r="C8" s="7" t="str">
        <x:v>AI Report Builder</x:v>
      </x:c>
      <x:c r="D8" s="7" t="str">
        <x:v>AI Tool</x:v>
      </x:c>
      <x:c r="E8" s="7" t="str">
        <x:v>Jakarta</x:v>
      </x:c>
      <x:c r="F8" s="7" t="str">
        <x:v>Website</x:v>
      </x:c>
      <x:c r="G8" s="7" t="n">
        <x:v>2</x:v>
      </x:c>
      <x:c r="H8" s="28" t="n">
        <x:v>0</x:v>
      </x:c>
      <x:c r="I8" s="7" t="str">
        <x:v>Closed Won</x:v>
      </x:c>
      <x:c r="J8" s="29" t="n">
        <x:v>11200000</x:v>
      </x:c>
      <x:c r="K8" s="29" t="n">
        <x:v>8400000</x:v>
      </x:c>
      <x:c r="L8" s="28" t="n">
        <x:f>IFERROR(J8/K8,0)</x:f>
        <x:v>1.3333333333333333</x:v>
      </x:c>
      <x:c r="M8" s="29" t="n">
        <x:f>J8-K8</x:f>
        <x:v>2800000</x:v>
      </x:c>
    </x:row>
    <x:row r="9">
      <x:c r="A9" s="27" t="n">
        <x:v>46175</x:v>
      </x:c>
      <x:c r="B9" s="7" t="str">
        <x:v>INV-1008</x:v>
      </x:c>
      <x:c r="C9" s="7" t="str">
        <x:v>AI Report Builder</x:v>
      </x:c>
      <x:c r="D9" s="7" t="str">
        <x:v>AI Tool</x:v>
      </x:c>
      <x:c r="E9" s="7" t="str">
        <x:v>Medan</x:v>
      </x:c>
      <x:c r="F9" s="7" t="str">
        <x:v>Sales Team</x:v>
      </x:c>
      <x:c r="G9" s="7" t="n">
        <x:v>4</x:v>
      </x:c>
      <x:c r="H9" s="28" t="n">
        <x:v>0</x:v>
      </x:c>
      <x:c r="I9" s="7" t="str">
        <x:v>Cancelled</x:v>
      </x:c>
      <x:c r="J9" s="29" t="str"/>
      <x:c r="K9" s="29" t="n">
        <x:v>16800000</x:v>
      </x:c>
      <x:c r="L9" s="28" t="n">
        <x:f>IFERROR(J9/K9,0)</x:f>
        <x:v>0</x:v>
      </x:c>
      <x:c r="M9" s="29" t="n">
        <x:f>J9-K9</x:f>
        <x:v>-16800000</x:v>
      </x:c>
    </x:row>
    <x:row r="10">
      <x:c r="A10" s="27" t="n">
        <x:v>46175</x:v>
      </x:c>
      <x:c r="B10" s="7" t="str">
        <x:v>INV-1009</x:v>
      </x:c>
      <x:c r="C10" s="7" t="str">
        <x:v>Data Training Seat</x:v>
      </x:c>
      <x:c r="D10" s="7" t="str">
        <x:v>Training</x:v>
      </x:c>
      <x:c r="E10" s="7" t="str">
        <x:v>Medan</x:v>
      </x:c>
      <x:c r="F10" s="7" t="str">
        <x:v>Website</x:v>
      </x:c>
      <x:c r="G10" s="7" t="n">
        <x:v>2</x:v>
      </x:c>
      <x:c r="H10" s="28" t="n">
        <x:v>0</x:v>
      </x:c>
      <x:c r="I10" s="7" t="str">
        <x:v>Pending</x:v>
      </x:c>
      <x:c r="J10" s="29" t="n">
        <x:v>1548800</x:v>
      </x:c>
      <x:c r="K10" s="29" t="n">
        <x:v>4000000</x:v>
      </x:c>
      <x:c r="L10" s="28" t="n">
        <x:f>IFERROR(J10/K10,0)</x:f>
        <x:v>0.3872</x:v>
      </x:c>
      <x:c r="M10" s="29" t="n">
        <x:f>J10-K10</x:f>
        <x:v>-2451200</x:v>
      </x:c>
    </x:row>
    <x:row r="11">
      <x:c r="A11" s="27" t="n">
        <x:v>46175</x:v>
      </x:c>
      <x:c r="B11" s="7" t="str">
        <x:v>INV-1010</x:v>
      </x:c>
      <x:c r="C11" s="7" t="str">
        <x:v>AI Report Builder</x:v>
      </x:c>
      <x:c r="D11" s="7" t="str">
        <x:v>AI Tool</x:v>
      </x:c>
      <x:c r="E11" s="7" t="str">
        <x:v>Medan</x:v>
      </x:c>
      <x:c r="F11" s="7" t="str">
        <x:v>Sales Team</x:v>
      </x:c>
      <x:c r="G11" s="7" t="n">
        <x:v>2</x:v>
      </x:c>
      <x:c r="H11" s="28" t="n">
        <x:v>0</x:v>
      </x:c>
      <x:c r="I11" s="7" t="str">
        <x:v>Cancelled</x:v>
      </x:c>
      <x:c r="J11" s="29" t="n">
        <x:v>0</x:v>
      </x:c>
      <x:c r="K11" s="29" t="n">
        <x:v>8400000</x:v>
      </x:c>
      <x:c r="L11" s="28" t="n">
        <x:f>IFERROR(J11/K11,0)</x:f>
        <x:v>0</x:v>
      </x:c>
      <x:c r="M11" s="29" t="n">
        <x:f>J11-K11</x:f>
        <x:v>-8400000</x:v>
      </x:c>
    </x:row>
    <x:row r="12">
      <x:c r="A12" s="27" t="n">
        <x:v>46175</x:v>
      </x:c>
      <x:c r="B12" s="7" t="str">
        <x:v>INV-1011</x:v>
      </x:c>
      <x:c r="C12" s="7" t="str">
        <x:v>Basic Analytics Pack</x:v>
      </x:c>
      <x:c r="D12" s="7" t="str">
        <x:v>Software</x:v>
      </x:c>
      <x:c r="E12" s="7" t="str">
        <x:v>Jakarta</x:v>
      </x:c>
      <x:c r="F12" s="7" t="str">
        <x:v>Partner</x:v>
      </x:c>
      <x:c r="G12" s="7" t="n">
        <x:v>4</x:v>
      </x:c>
      <x:c r="H12" s="28" t="n">
        <x:v>0</x:v>
      </x:c>
      <x:c r="I12" s="7" t="str">
        <x:v>Closed Won</x:v>
      </x:c>
      <x:c r="J12" s="29" t="n">
        <x:v>6249600</x:v>
      </x:c>
      <x:c r="K12" s="29" t="n">
        <x:v>4800000</x:v>
      </x:c>
      <x:c r="L12" s="28" t="n">
        <x:f>IFERROR(J12/K12,0)</x:f>
        <x:v>1.302</x:v>
      </x:c>
      <x:c r="M12" s="29" t="n">
        <x:f>J12-K12</x:f>
        <x:v>1449600</x:v>
      </x:c>
    </x:row>
    <x:row r="13">
      <x:c r="A13" s="27" t="n">
        <x:v>46175</x:v>
      </x:c>
      <x:c r="B13" s="7" t="str">
        <x:v>INV-1012</x:v>
      </x:c>
      <x:c r="C13" s="7" t="str">
        <x:v>Pro Dashboard Pack</x:v>
      </x:c>
      <x:c r="D13" s="7" t="str">
        <x:v>Software</x:v>
      </x:c>
      <x:c r="E13" s="7" t="str">
        <x:v>Jakarta</x:v>
      </x:c>
      <x:c r="F13" s="7" t="str">
        <x:v>Referral</x:v>
      </x:c>
      <x:c r="G13" s="7" t="n">
        <x:v>1</x:v>
      </x:c>
      <x:c r="H13" s="28" t="n">
        <x:v>0.05</x:v>
      </x:c>
      <x:c r="I13" s="7" t="str">
        <x:v>Cancelled</x:v>
      </x:c>
      <x:c r="J13" s="29" t="n">
        <x:v>0</x:v>
      </x:c>
      <x:c r="K13" s="29" t="n">
        <x:v>3000000</x:v>
      </x:c>
      <x:c r="L13" s="28" t="n">
        <x:f>IFERROR(J13/K13,0)</x:f>
        <x:v>0</x:v>
      </x:c>
      <x:c r="M13" s="29" t="n">
        <x:f>J13-K13</x:f>
        <x:v>-3000000</x:v>
      </x:c>
    </x:row>
    <x:row r="14">
      <x:c r="A14" s="27" t="n">
        <x:v>46176</x:v>
      </x:c>
      <x:c r="B14" s="7" t="str">
        <x:v>INV-1013</x:v>
      </x:c>
      <x:c r="C14" s="7" t="str">
        <x:v>Pro Dashboard Pack</x:v>
      </x:c>
      <x:c r="D14" s="7" t="str">
        <x:v>Software</x:v>
      </x:c>
      <x:c r="E14" s="7" t="str">
        <x:v>Surabaya</x:v>
      </x:c>
      <x:c r="F14" s="7" t="str">
        <x:v>Sales Team</x:v>
      </x:c>
      <x:c r="G14" s="7" t="n">
        <x:v>1</x:v>
      </x:c>
      <x:c r="H14" s="28" t="n">
        <x:v>0.15</x:v>
      </x:c>
      <x:c r="I14" s="7" t="str">
        <x:v>Closed Won</x:v>
      </x:c>
      <x:c r="J14" s="29" t="n">
        <x:v>2975000</x:v>
      </x:c>
      <x:c r="K14" s="29" t="n">
        <x:v>3000000</x:v>
      </x:c>
      <x:c r="L14" s="28" t="n">
        <x:f>IFERROR(J14/K14,0)</x:f>
        <x:v>0.9916666666666667</x:v>
      </x:c>
      <x:c r="M14" s="29" t="n">
        <x:f>J14-K14</x:f>
        <x:v>-25000</x:v>
      </x:c>
    </x:row>
    <x:row r="15">
      <x:c r="A15" s="27" t="n">
        <x:v>46176</x:v>
      </x:c>
      <x:c r="B15" s="7" t="str">
        <x:v>INV-1014</x:v>
      </x:c>
      <x:c r="C15" s="7" t="str">
        <x:v>Consulting Hour</x:v>
      </x:c>
      <x:c r="D15" s="7" t="str">
        <x:v>Service</x:v>
      </x:c>
      <x:c r="E15" s="7" t="str">
        <x:v>Jakarta</x:v>
      </x:c>
      <x:c r="F15" s="7" t="str">
        <x:v>Partner</x:v>
      </x:c>
      <x:c r="G15" s="7" t="n">
        <x:v>2</x:v>
      </x:c>
      <x:c r="H15" s="28" t="n">
        <x:v>0.15</x:v>
      </x:c>
      <x:c r="I15" s="7" t="str">
        <x:v>Closed Won</x:v>
      </x:c>
      <x:c r="J15" s="29" t="n">
        <x:v>1593648</x:v>
      </x:c>
      <x:c r="K15" s="29" t="n">
        <x:v>1700000</x:v>
      </x:c>
      <x:c r="L15" s="28" t="n">
        <x:f>IFERROR(J15/K15,0)</x:f>
        <x:v>0.93744</x:v>
      </x:c>
      <x:c r="M15" s="29" t="n">
        <x:f>J15-K15</x:f>
        <x:v>-106352</x:v>
      </x:c>
    </x:row>
    <x:row r="16">
      <x:c r="A16" s="27" t="n">
        <x:v>46176</x:v>
      </x:c>
      <x:c r="B16" s="7" t="str">
        <x:v>INV-1015</x:v>
      </x:c>
      <x:c r="C16" s="7" t="str">
        <x:v>Pro Dashboard Pack</x:v>
      </x:c>
      <x:c r="D16" s="7" t="str">
        <x:v>Software</x:v>
      </x:c>
      <x:c r="E16" s="7" t="str">
        <x:v>Bali</x:v>
      </x:c>
      <x:c r="F16" s="7" t="str">
        <x:v>Referral</x:v>
      </x:c>
      <x:c r="G16" s="7" t="n">
        <x:v>1</x:v>
      </x:c>
      <x:c r="H16" s="28" t="n">
        <x:v>0.15</x:v>
      </x:c>
      <x:c r="I16" s="7" t="str">
        <x:v>Cancelled</x:v>
      </x:c>
      <x:c r="J16" s="29" t="n">
        <x:v>0</x:v>
      </x:c>
      <x:c r="K16" s="29" t="n">
        <x:v>3000000</x:v>
      </x:c>
      <x:c r="L16" s="28" t="n">
        <x:f>IFERROR(J16/K16,0)</x:f>
        <x:v>0</x:v>
      </x:c>
      <x:c r="M16" s="29" t="n">
        <x:f>J16-K16</x:f>
        <x:v>-3000000</x:v>
      </x:c>
    </x:row>
    <x:row r="17">
      <x:c r="A17" s="27" t="n">
        <x:v>46176</x:v>
      </x:c>
      <x:c r="B17" s="7" t="str">
        <x:v>INV-1016</x:v>
      </x:c>
      <x:c r="C17" s="7" t="str">
        <x:v>Premium Support</x:v>
      </x:c>
      <x:c r="D17" s="7" t="str">
        <x:v>Service</x:v>
      </x:c>
      <x:c r="E17" s="7" t="str">
        <x:v>Bandung</x:v>
      </x:c>
      <x:c r="F17" s="7" t="str">
        <x:v>Sales Team</x:v>
      </x:c>
      <x:c r="G17" s="7" t="n">
        <x:v>4</x:v>
      </x:c>
      <x:c r="H17" s="28" t="n">
        <x:v>0</x:v>
      </x:c>
      <x:c r="I17" s="7" t="str">
        <x:v>Closed Won</x:v>
      </x:c>
      <x:c r="J17" s="29" t="n">
        <x:v>7200000</x:v>
      </x:c>
      <x:c r="K17" s="29" t="n">
        <x:v>6400000</x:v>
      </x:c>
      <x:c r="L17" s="28" t="n">
        <x:f>IFERROR(J17/K17,0)</x:f>
        <x:v>1.125</x:v>
      </x:c>
      <x:c r="M17" s="29" t="n">
        <x:f>J17-K17</x:f>
        <x:v>800000</x:v>
      </x:c>
    </x:row>
    <x:row r="18">
      <x:c r="A18" s="27" t="n">
        <x:v>46176</x:v>
      </x:c>
      <x:c r="B18" s="7" t="str">
        <x:v>INV-1017</x:v>
      </x:c>
      <x:c r="C18" s="7" t="str">
        <x:v>Basic Analytics Pack</x:v>
      </x:c>
      <x:c r="D18" s="7" t="str">
        <x:v>Software</x:v>
      </x:c>
      <x:c r="E18" s="7" t="str">
        <x:v>Surabaya</x:v>
      </x:c>
      <x:c r="F18" s="7" t="str">
        <x:v>Referral</x:v>
      </x:c>
      <x:c r="G18" s="7" t="n">
        <x:v>1</x:v>
      </x:c>
      <x:c r="H18" s="28" t="n">
        <x:v>0</x:v>
      </x:c>
      <x:c r="I18" s="7" t="str">
        <x:v>Closed Won</x:v>
      </x:c>
      <x:c r="J18" s="29" t="n">
        <x:v>1500000</x:v>
      </x:c>
      <x:c r="K18" s="29" t="n">
        <x:v>1200000</x:v>
      </x:c>
      <x:c r="L18" s="28" t="n">
        <x:f>IFERROR(J18/K18,0)</x:f>
        <x:v>1.25</x:v>
      </x:c>
      <x:c r="M18" s="29" t="n">
        <x:f>J18-K18</x:f>
        <x:v>300000</x:v>
      </x:c>
    </x:row>
    <x:row r="19">
      <x:c r="A19" s="27" t="n">
        <x:v>46176</x:v>
      </x:c>
      <x:c r="B19" s="7" t="str">
        <x:v>INV-1018</x:v>
      </x:c>
      <x:c r="C19" s="7" t="str">
        <x:v>Premium Support</x:v>
      </x:c>
      <x:c r="D19" s="7" t="str">
        <x:v>Service</x:v>
      </x:c>
      <x:c r="E19" s="7" t="str">
        <x:v>Surabaya</x:v>
      </x:c>
      <x:c r="F19" s="7" t="str">
        <x:v>Partner</x:v>
      </x:c>
      <x:c r="G19" s="7" t="n">
        <x:v>3</x:v>
      </x:c>
      <x:c r="H19" s="28" t="n">
        <x:v>0.05</x:v>
      </x:c>
      <x:c r="I19" s="7" t="str">
        <x:v>Closed Won</x:v>
      </x:c>
      <x:c r="J19" s="29" t="n">
        <x:v>4770900</x:v>
      </x:c>
      <x:c r="K19" s="29" t="n">
        <x:v>4800000</x:v>
      </x:c>
      <x:c r="L19" s="28" t="n">
        <x:f>IFERROR(J19/K19,0)</x:f>
        <x:v>0.9939375</x:v>
      </x:c>
      <x:c r="M19" s="29" t="n">
        <x:f>J19-K19</x:f>
        <x:v>-29100</x:v>
      </x:c>
    </x:row>
    <x:row r="20">
      <x:c r="A20" s="27" t="n">
        <x:v>46177</x:v>
      </x:c>
      <x:c r="B20" s="7" t="str">
        <x:v>INV-1019</x:v>
      </x:c>
      <x:c r="C20" s="7" t="str">
        <x:v>Pro Dashboard Pack</x:v>
      </x:c>
      <x:c r="D20" s="7" t="str">
        <x:v>Software</x:v>
      </x:c>
      <x:c r="E20" s="7" t="str">
        <x:v>Surabaya</x:v>
      </x:c>
      <x:c r="F20" s="7" t="str">
        <x:v>Partner</x:v>
      </x:c>
      <x:c r="G20" s="7" t="n">
        <x:v>1</x:v>
      </x:c>
      <x:c r="H20" s="28" t="n">
        <x:v>0.15</x:v>
      </x:c>
      <x:c r="I20" s="7" t="str">
        <x:v>Pending</x:v>
      </x:c>
      <x:c r="J20" s="29" t="n">
        <x:v>1106700</x:v>
      </x:c>
      <x:c r="K20" s="29" t="n">
        <x:v>3000000</x:v>
      </x:c>
      <x:c r="L20" s="28" t="n">
        <x:f>IFERROR(J20/K20,0)</x:f>
        <x:v>0.3689</x:v>
      </x:c>
      <x:c r="M20" s="29" t="n">
        <x:f>J20-K20</x:f>
        <x:v>-1893300</x:v>
      </x:c>
    </x:row>
    <x:row r="21">
      <x:c r="A21" s="27" t="n">
        <x:v>46177</x:v>
      </x:c>
      <x:c r="B21" s="7" t="str">
        <x:v>INV-1020</x:v>
      </x:c>
      <x:c r="C21" s="7" t="str">
        <x:v>Premium Support</x:v>
      </x:c>
      <x:c r="D21" s="7" t="str">
        <x:v>Service</x:v>
      </x:c>
      <x:c r="E21" s="7" t="str">
        <x:v>Surabaya</x:v>
      </x:c>
      <x:c r="F21" s="7" t="str">
        <x:v>Referral</x:v>
      </x:c>
      <x:c r="G21" s="7" t="n">
        <x:v>2</x:v>
      </x:c>
      <x:c r="H21" s="28" t="n">
        <x:v>0.05</x:v>
      </x:c>
      <x:c r="I21" s="7" t="str">
        <x:v>Closed Won</x:v>
      </x:c>
      <x:c r="J21" s="29" t="n">
        <x:v>3420000</x:v>
      </x:c>
      <x:c r="K21" s="29" t="n">
        <x:v>3200000</x:v>
      </x:c>
      <x:c r="L21" s="28" t="n">
        <x:f>IFERROR(J21/K21,0)</x:f>
        <x:v>1.06875</x:v>
      </x:c>
      <x:c r="M21" s="29" t="n">
        <x:f>J21-K21</x:f>
        <x:v>220000</x:v>
      </x:c>
    </x:row>
    <x:row r="22">
      <x:c r="A22" s="27" t="n">
        <x:v>46177</x:v>
      </x:c>
      <x:c r="B22" s="7" t="str">
        <x:v>INV-1021</x:v>
      </x:c>
      <x:c r="C22" s="7" t="str">
        <x:v>Pro Dashboard Pack</x:v>
      </x:c>
      <x:c r="D22" s="7" t="str">
        <x:v>Software</x:v>
      </x:c>
      <x:c r="E22" s="7" t="str">
        <x:v>Bandung</x:v>
      </x:c>
      <x:c r="F22" s="7" t="str">
        <x:v>Referral</x:v>
      </x:c>
      <x:c r="G22" s="7" t="n">
        <x:v>1</x:v>
      </x:c>
      <x:c r="H22" s="28" t="n">
        <x:v>0</x:v>
      </x:c>
      <x:c r="I22" s="7" t="str">
        <x:v>Closed Won</x:v>
      </x:c>
      <x:c r="J22" s="29" t="n">
        <x:v>3500000</x:v>
      </x:c>
      <x:c r="K22" s="29" t="n">
        <x:v>3000000</x:v>
      </x:c>
      <x:c r="L22" s="28" t="n">
        <x:f>IFERROR(J22/K22,0)</x:f>
        <x:v>1.1666666666666667</x:v>
      </x:c>
      <x:c r="M22" s="29" t="n">
        <x:f>J22-K22</x:f>
        <x:v>500000</x:v>
      </x:c>
    </x:row>
    <x:row r="23">
      <x:c r="A23" s="27" t="n">
        <x:v>46177</x:v>
      </x:c>
      <x:c r="B23" s="7" t="str">
        <x:v>INV-1021</x:v>
      </x:c>
      <x:c r="C23" s="7" t="str">
        <x:v>Pro Dashboard Pack</x:v>
      </x:c>
      <x:c r="D23" s="7" t="str">
        <x:v>Software</x:v>
      </x:c>
      <x:c r="E23" s="7" t="str">
        <x:v>Bandung</x:v>
      </x:c>
      <x:c r="F23" s="7" t="str">
        <x:v>Referral</x:v>
      </x:c>
      <x:c r="G23" s="7" t="n">
        <x:v>2</x:v>
      </x:c>
      <x:c r="H23" s="28" t="n">
        <x:v>0</x:v>
      </x:c>
      <x:c r="I23" s="7" t="str">
        <x:v>Closed Won</x:v>
      </x:c>
      <x:c r="J23" s="29" t="n">
        <x:v>7000000</x:v>
      </x:c>
      <x:c r="K23" s="29" t="n">
        <x:v>6000000</x:v>
      </x:c>
      <x:c r="L23" s="28" t="n">
        <x:f>IFERROR(J23/K23,0)</x:f>
        <x:v>1.1666666666666667</x:v>
      </x:c>
      <x:c r="M23" s="29" t="n">
        <x:f>J23-K23</x:f>
        <x:v>1000000</x:v>
      </x:c>
    </x:row>
    <x:row r="24">
      <x:c r="A24" s="27" t="n">
        <x:v>46177</x:v>
      </x:c>
      <x:c r="B24" s="7" t="str">
        <x:v>INV-1023</x:v>
      </x:c>
      <x:c r="C24" s="7" t="str">
        <x:v>Data Training Seat</x:v>
      </x:c>
      <x:c r="D24" s="7" t="str">
        <x:v>Training</x:v>
      </x:c>
      <x:c r="E24" s="7" t="str">
        <x:v>Medan</x:v>
      </x:c>
      <x:c r="F24" s="7" t="str">
        <x:v>Referral</x:v>
      </x:c>
      <x:c r="G24" s="7" t="n">
        <x:v>2</x:v>
      </x:c>
      <x:c r="H24" s="28" t="n">
        <x:v>0</x:v>
      </x:c>
      <x:c r="I24" s="7" t="str">
        <x:v>Pending</x:v>
      </x:c>
      <x:c r="J24" s="29" t="n">
        <x:v>1548800</x:v>
      </x:c>
      <x:c r="K24" s="29" t="n">
        <x:v>4000000</x:v>
      </x:c>
      <x:c r="L24" s="28" t="n">
        <x:f>IFERROR(J24/K24,0)</x:f>
        <x:v>0.3872</x:v>
      </x:c>
      <x:c r="M24" s="29" t="n">
        <x:f>J24-K24</x:f>
        <x:v>-2451200</x:v>
      </x:c>
    </x:row>
    <x:row r="25">
      <x:c r="A25" s="27" t="n">
        <x:v>46177</x:v>
      </x:c>
      <x:c r="B25" s="7" t="str">
        <x:v>INV-1024</x:v>
      </x:c>
      <x:c r="C25" s="7" t="str">
        <x:v>Basic Analytics Pack</x:v>
      </x:c>
      <x:c r="D25" s="7" t="str">
        <x:v>Software</x:v>
      </x:c>
      <x:c r="E25" s="7" t="str">
        <x:v>Jakarta</x:v>
      </x:c>
      <x:c r="F25" s="7" t="str">
        <x:v>Sales Team</x:v>
      </x:c>
      <x:c r="G25" s="7" t="n">
        <x:v>4</x:v>
      </x:c>
      <x:c r="H25" s="28" t="n">
        <x:v>0.15</x:v>
      </x:c>
      <x:c r="I25" s="7" t="str">
        <x:v>Closed Won</x:v>
      </x:c>
      <x:c r="J25" s="29" t="n">
        <x:v>5712000</x:v>
      </x:c>
      <x:c r="K25" s="29" t="n">
        <x:v>4800000</x:v>
      </x:c>
      <x:c r="L25" s="28" t="n">
        <x:f>IFERROR(J25/K25,0)</x:f>
        <x:v>1.19</x:v>
      </x:c>
      <x:c r="M25" s="29" t="n">
        <x:f>J25-K25</x:f>
        <x:v>912000</x:v>
      </x:c>
    </x:row>
    <x:row r="26">
      <x:c r="A26" s="27" t="n">
        <x:v>46177</x:v>
      </x:c>
      <x:c r="B26" s="7" t="str">
        <x:v>INV-1025</x:v>
      </x:c>
      <x:c r="C26" s="7" t="str">
        <x:v>Basic Analytics Pack</x:v>
      </x:c>
      <x:c r="D26" s="7" t="str">
        <x:v>Software</x:v>
      </x:c>
      <x:c r="E26" s="7" t="str">
        <x:v>Surabaya</x:v>
      </x:c>
      <x:c r="F26" s="7" t="str">
        <x:v>Referral</x:v>
      </x:c>
      <x:c r="G26" s="7" t="n">
        <x:v>1</x:v>
      </x:c>
      <x:c r="H26" s="28" t="n">
        <x:v>0.05</x:v>
      </x:c>
      <x:c r="I26" s="7" t="str">
        <x:v>Closed Won</x:v>
      </x:c>
      <x:c r="J26" s="29" t="n">
        <x:v>1425000</x:v>
      </x:c>
      <x:c r="K26" s="29" t="n">
        <x:v>1200000</x:v>
      </x:c>
      <x:c r="L26" s="28" t="n">
        <x:f>IFERROR(J26/K26,0)</x:f>
        <x:v>1.1875</x:v>
      </x:c>
      <x:c r="M26" s="29" t="n">
        <x:f>J26-K26</x:f>
        <x:v>225000</x:v>
      </x:c>
    </x:row>
    <x:row r="27">
      <x:c r="A27" s="27" t="n">
        <x:v>46178</x:v>
      </x:c>
      <x:c r="B27" s="7" t="str">
        <x:v>INV-1026</x:v>
      </x:c>
      <x:c r="C27" s="7" t="str">
        <x:v>Premium Support</x:v>
      </x:c>
      <x:c r="D27" s="7" t="str">
        <x:v>Service</x:v>
      </x:c>
      <x:c r="E27" s="7" t="str">
        <x:v>Bandung</x:v>
      </x:c>
      <x:c r="F27" s="7" t="str">
        <x:v>Website</x:v>
      </x:c>
      <x:c r="G27" s="7" t="n">
        <x:v>4</x:v>
      </x:c>
      <x:c r="H27" s="28" t="n">
        <x:v>0.15</x:v>
      </x:c>
      <x:c r="I27" s="7" t="str">
        <x:v>Closed Won</x:v>
      </x:c>
      <x:c r="J27" s="29" t="n">
        <x:v>6120000</x:v>
      </x:c>
      <x:c r="K27" s="29" t="n">
        <x:v>6400000</x:v>
      </x:c>
      <x:c r="L27" s="28" t="n">
        <x:f>IFERROR(J27/K27,0)</x:f>
        <x:v>0.95625</x:v>
      </x:c>
      <x:c r="M27" s="29" t="n">
        <x:f>J27-K27</x:f>
        <x:v>-280000</x:v>
      </x:c>
    </x:row>
    <x:row r="28">
      <x:c r="A28" s="27" t="n">
        <x:v>46178</x:v>
      </x:c>
      <x:c r="B28" s="7" t="str">
        <x:v>INV-1027</x:v>
      </x:c>
      <x:c r="C28" s="7" t="str">
        <x:v>Consulting Hour</x:v>
      </x:c>
      <x:c r="D28" s="7" t="str">
        <x:v>Service</x:v>
      </x:c>
      <x:c r="E28" s="7" t="str">
        <x:v>Medan</x:v>
      </x:c>
      <x:c r="F28" s="7" t="str">
        <x:v>Partner</x:v>
      </x:c>
      <x:c r="G28" s="7" t="n">
        <x:v>1</x:v>
      </x:c>
      <x:c r="H28" s="28" t="n">
        <x:v>0</x:v>
      </x:c>
      <x:c r="I28" s="7" t="str">
        <x:v>Closed Won</x:v>
      </x:c>
      <x:c r="J28" s="29" t="n">
        <x:v>736560</x:v>
      </x:c>
      <x:c r="K28" s="29" t="n">
        <x:v>850000</x:v>
      </x:c>
      <x:c r="L28" s="28" t="n">
        <x:f>IFERROR(J28/K28,0)</x:f>
        <x:v>0.8665411764705883</x:v>
      </x:c>
      <x:c r="M28" s="29" t="n">
        <x:f>J28-K28</x:f>
        <x:v>-113440</x:v>
      </x:c>
    </x:row>
    <x:row r="29">
      <x:c r="A29" s="27" t="n">
        <x:v>46178</x:v>
      </x:c>
      <x:c r="B29" s="7" t="str">
        <x:v>INV-1028</x:v>
      </x:c>
      <x:c r="C29" s="7" t="str">
        <x:v>Premium Support</x:v>
      </x:c>
      <x:c r="D29" s="7" t="str">
        <x:v>Service</x:v>
      </x:c>
      <x:c r="E29" s="7" t="str">
        <x:v>Medan</x:v>
      </x:c>
      <x:c r="F29" s="7" t="str">
        <x:v>Website</x:v>
      </x:c>
      <x:c r="G29" s="7" t="n">
        <x:v>2</x:v>
      </x:c>
      <x:c r="H29" s="28" t="n">
        <x:v>0</x:v>
      </x:c>
      <x:c r="I29" s="7" t="str">
        <x:v>Closed Won</x:v>
      </x:c>
      <x:c r="J29" s="29" t="n">
        <x:v>3168000</x:v>
      </x:c>
      <x:c r="K29" s="29" t="n">
        <x:v>3200000</x:v>
      </x:c>
      <x:c r="L29" s="28" t="n">
        <x:f>IFERROR(J29/K29,0)</x:f>
        <x:v>0.99</x:v>
      </x:c>
      <x:c r="M29" s="29" t="n">
        <x:f>J29-K29</x:f>
        <x:v>-32000</x:v>
      </x:c>
    </x:row>
    <x:row r="30">
      <x:c r="A30" s="27" t="n">
        <x:v>46178</x:v>
      </x:c>
      <x:c r="B30" s="7" t="str">
        <x:v>INV-1029</x:v>
      </x:c>
      <x:c r="C30" s="7" t="str">
        <x:v>Basic Analytics Pack</x:v>
      </x:c>
      <x:c r="D30" s="7" t="str">
        <x:v>Software</x:v>
      </x:c>
      <x:c r="E30" s="7" t="str">
        <x:v>Jakarta</x:v>
      </x:c>
      <x:c r="F30" s="7" t="str">
        <x:v>Sales Team</x:v>
      </x:c>
      <x:c r="G30" s="7" t="n">
        <x:v>4</x:v>
      </x:c>
      <x:c r="H30" s="28" t="n">
        <x:v>0</x:v>
      </x:c>
      <x:c r="I30" s="7" t="str">
        <x:v>Closed Won</x:v>
      </x:c>
      <x:c r="J30" s="29" t="n">
        <x:v>6720000</x:v>
      </x:c>
      <x:c r="K30" s="29" t="n">
        <x:v>4800000</x:v>
      </x:c>
      <x:c r="L30" s="28" t="n">
        <x:f>IFERROR(J30/K30,0)</x:f>
        <x:v>1.4</x:v>
      </x:c>
      <x:c r="M30" s="29" t="n">
        <x:f>J30-K30</x:f>
        <x:v>1920000</x:v>
      </x:c>
    </x:row>
    <x:row r="31">
      <x:c r="A31" s="27" t="n">
        <x:v>46178</x:v>
      </x:c>
      <x:c r="B31" s="7" t="str">
        <x:v>INV-1030</x:v>
      </x:c>
      <x:c r="C31" s="7" t="str">
        <x:v>Basic Analytics Pack</x:v>
      </x:c>
      <x:c r="D31" s="7" t="str">
        <x:v>Software</x:v>
      </x:c>
      <x:c r="E31" s="7" t="str">
        <x:v>Bandung</x:v>
      </x:c>
      <x:c r="F31" s="7" t="str">
        <x:v>Website</x:v>
      </x:c>
      <x:c r="G31" s="7" t="n">
        <x:v>1</x:v>
      </x:c>
      <x:c r="H31" s="28" t="n">
        <x:v>0.15</x:v>
      </x:c>
      <x:c r="I31" s="7" t="str">
        <x:v>Closed Won</x:v>
      </x:c>
      <x:c r="J31" s="29" t="n">
        <x:v>1275000</x:v>
      </x:c>
      <x:c r="K31" s="29" t="n">
        <x:v>1200000</x:v>
      </x:c>
      <x:c r="L31" s="28" t="n">
        <x:f>IFERROR(J31/K31,0)</x:f>
        <x:v>1.0625</x:v>
      </x:c>
      <x:c r="M31" s="29" t="n">
        <x:f>J31-K31</x:f>
        <x:v>75000</x:v>
      </x:c>
    </x:row>
    <x:row r="32">
      <x:c r="A32" s="27" t="n">
        <x:v>46178</x:v>
      </x:c>
      <x:c r="B32" s="7" t="str">
        <x:v>INV-1031</x:v>
      </x:c>
      <x:c r="C32" s="7" t="str">
        <x:v>Basic Analytics Pack</x:v>
      </x:c>
      <x:c r="D32" s="7" t="str">
        <x:v>Software</x:v>
      </x:c>
      <x:c r="E32" s="7" t="str">
        <x:v>Medan</x:v>
      </x:c>
      <x:c r="F32" s="7" t="str">
        <x:v>Partner</x:v>
      </x:c>
      <x:c r="G32" s="7" t="n">
        <x:v>1</x:v>
      </x:c>
      <x:c r="H32" s="28" t="n">
        <x:v>0.15</x:v>
      </x:c>
      <x:c r="I32" s="7" t="str">
        <x:v>Closed Won</x:v>
      </x:c>
      <x:c r="J32" s="29" t="n">
        <x:v>1043460</x:v>
      </x:c>
      <x:c r="K32" s="29" t="n">
        <x:v>1200000</x:v>
      </x:c>
      <x:c r="L32" s="28" t="n">
        <x:f>IFERROR(J32/K32,0)</x:f>
        <x:v>0.86955</x:v>
      </x:c>
      <x:c r="M32" s="29" t="n">
        <x:f>J32-K32</x:f>
        <x:v>-156540</x:v>
      </x:c>
    </x:row>
    <x:row r="33">
      <x:c r="A33" s="27" t="n">
        <x:v>46179</x:v>
      </x:c>
      <x:c r="B33" s="7" t="str">
        <x:v>INV-1032</x:v>
      </x:c>
      <x:c r="C33" s="7" t="str">
        <x:v>Pro Dashboard Pack</x:v>
      </x:c>
      <x:c r="D33" s="7" t="str">
        <x:v>Software</x:v>
      </x:c>
      <x:c r="E33" s="7" t="str">
        <x:v>Surabaya</x:v>
      </x:c>
      <x:c r="F33" s="7" t="str">
        <x:v>Referral</x:v>
      </x:c>
      <x:c r="G33" s="7" t="n">
        <x:v>1</x:v>
      </x:c>
      <x:c r="H33" s="28" t="n">
        <x:v>0.1</x:v>
      </x:c>
      <x:c r="I33" s="7" t="str">
        <x:v>Cancelled</x:v>
      </x:c>
      <x:c r="J33" s="29" t="n">
        <x:v>0</x:v>
      </x:c>
      <x:c r="K33" s="29" t="n">
        <x:v>3000000</x:v>
      </x:c>
      <x:c r="L33" s="28" t="n">
        <x:f>IFERROR(J33/K33,0)</x:f>
        <x:v>0</x:v>
      </x:c>
      <x:c r="M33" s="29" t="n">
        <x:f>J33-K33</x:f>
        <x:v>-3000000</x:v>
      </x:c>
    </x:row>
    <x:row r="34">
      <x:c r="A34" s="27" t="n">
        <x:v>46179</x:v>
      </x:c>
      <x:c r="B34" s="7" t="str">
        <x:v>INV-1033</x:v>
      </x:c>
      <x:c r="C34" s="7" t="str">
        <x:v>Consulting Hour</x:v>
      </x:c>
      <x:c r="D34" s="7" t="str">
        <x:v>Service</x:v>
      </x:c>
      <x:c r="E34" s="7" t="str">
        <x:v>Bandung</x:v>
      </x:c>
      <x:c r="F34" s="7" t="str">
        <x:v>Sales Team</x:v>
      </x:c>
      <x:c r="G34" s="7" t="n">
        <x:v>2</x:v>
      </x:c>
      <x:c r="H34" s="28" t="n">
        <x:v>0.15</x:v>
      </x:c>
      <x:c r="I34" s="7" t="str">
        <x:v>Cancelled</x:v>
      </x:c>
      <x:c r="J34" s="29" t="n">
        <x:v>0</x:v>
      </x:c>
      <x:c r="K34" s="29" t="n">
        <x:v>1700000</x:v>
      </x:c>
      <x:c r="L34" s="28" t="n">
        <x:f>IFERROR(J34/K34,0)</x:f>
        <x:v>0</x:v>
      </x:c>
      <x:c r="M34" s="29" t="n">
        <x:f>J34-K34</x:f>
        <x:v>-1700000</x:v>
      </x:c>
    </x:row>
    <x:row r="35">
      <x:c r="A35" s="27" t="n">
        <x:v>46179</x:v>
      </x:c>
      <x:c r="B35" s="7" t="str">
        <x:v>INV-1034</x:v>
      </x:c>
      <x:c r="C35" s="7" t="str">
        <x:v>AI Report Builder</x:v>
      </x:c>
      <x:c r="D35" s="7" t="str">
        <x:v>AI Tool</x:v>
      </x:c>
      <x:c r="E35" s="7" t="str">
        <x:v>Bali</x:v>
      </x:c>
      <x:c r="F35" s="7" t="str">
        <x:v>Referral</x:v>
      </x:c>
      <x:c r="G35" s="7" t="n">
        <x:v>1</x:v>
      </x:c>
      <x:c r="H35" s="28" t="n">
        <x:v>0</x:v>
      </x:c>
      <x:c r="I35" s="7" t="str">
        <x:v>Closed Won</x:v>
      </x:c>
      <x:c r="J35" s="29" t="n">
        <x:v>5000000</x:v>
      </x:c>
      <x:c r="K35" s="29" t="n">
        <x:v>4200000</x:v>
      </x:c>
      <x:c r="L35" s="28" t="n">
        <x:f>IFERROR(J35/K35,0)</x:f>
        <x:v>1.1904761904761905</x:v>
      </x:c>
      <x:c r="M35" s="29" t="n">
        <x:f>J35-K35</x:f>
        <x:v>800000</x:v>
      </x:c>
    </x:row>
    <x:row r="36">
      <x:c r="A36" s="27" t="n">
        <x:v>46179</x:v>
      </x:c>
      <x:c r="B36" s="7" t="str">
        <x:v>INV-1035</x:v>
      </x:c>
      <x:c r="C36" s="7" t="str">
        <x:v>Basic Analytics Pack</x:v>
      </x:c>
      <x:c r="D36" s="7" t="str">
        <x:v>Software</x:v>
      </x:c>
      <x:c r="E36" s="7" t="str">
        <x:v>Surabaya</x:v>
      </x:c>
      <x:c r="F36" s="7" t="str">
        <x:v>Website</x:v>
      </x:c>
      <x:c r="G36" s="7" t="n">
        <x:v>2</x:v>
      </x:c>
      <x:c r="H36" s="28" t="n">
        <x:v>0.1</x:v>
      </x:c>
      <x:c r="I36" s="7" t="str">
        <x:v>Closed Won</x:v>
      </x:c>
      <x:c r="J36" s="29" t="n">
        <x:v>2700000</x:v>
      </x:c>
      <x:c r="K36" s="29" t="n">
        <x:v>2400000</x:v>
      </x:c>
      <x:c r="L36" s="28" t="n">
        <x:f>IFERROR(J36/K36,0)</x:f>
        <x:v>1.125</x:v>
      </x:c>
      <x:c r="M36" s="29" t="n">
        <x:f>J36-K36</x:f>
        <x:v>300000</x:v>
      </x:c>
    </x:row>
    <x:row r="37">
      <x:c r="A37" s="27" t="n">
        <x:v>46179</x:v>
      </x:c>
      <x:c r="B37" s="7" t="str">
        <x:v>INV-1036</x:v>
      </x:c>
      <x:c r="C37" s="7" t="str">
        <x:v>Premium Support</x:v>
      </x:c>
      <x:c r="D37" s="7" t="str">
        <x:v>Service</x:v>
      </x:c>
      <x:c r="E37" s="7" t="str">
        <x:v>Bandung</x:v>
      </x:c>
      <x:c r="F37" s="7" t="str">
        <x:v>Website</x:v>
      </x:c>
      <x:c r="G37" s="7" t="n">
        <x:v>1</x:v>
      </x:c>
      <x:c r="H37" s="28" t="n">
        <x:v>0.15</x:v>
      </x:c>
      <x:c r="I37" s="7" t="str">
        <x:v>Cancelled</x:v>
      </x:c>
      <x:c r="J37" s="29" t="n">
        <x:v>0</x:v>
      </x:c>
      <x:c r="K37" s="29" t="n">
        <x:v>1600000</x:v>
      </x:c>
      <x:c r="L37" s="28" t="n">
        <x:f>IFERROR(J37/K37,0)</x:f>
        <x:v>0</x:v>
      </x:c>
      <x:c r="M37" s="29" t="n">
        <x:f>J37-K37</x:f>
        <x:v>-1600000</x:v>
      </x:c>
    </x:row>
    <x:row r="38">
      <x:c r="A38" s="27" t="n">
        <x:v>46179</x:v>
      </x:c>
      <x:c r="B38" s="7" t="str">
        <x:v>INV-1037</x:v>
      </x:c>
      <x:c r="C38" s="7" t="str">
        <x:v>Basic Analytics Pack</x:v>
      </x:c>
      <x:c r="D38" s="7" t="str">
        <x:v>Software</x:v>
      </x:c>
      <x:c r="E38" s="7" t="str">
        <x:v>Bandung</x:v>
      </x:c>
      <x:c r="F38" s="7" t="str">
        <x:v>Website</x:v>
      </x:c>
      <x:c r="G38" s="7" t="n">
        <x:v>1</x:v>
      </x:c>
      <x:c r="H38" s="28" t="n">
        <x:v>0</x:v>
      </x:c>
      <x:c r="I38" s="7" t="str">
        <x:v>Closed Won</x:v>
      </x:c>
      <x:c r="J38" s="29" t="n">
        <x:v>1500000</x:v>
      </x:c>
      <x:c r="K38" s="29" t="n">
        <x:v>1200000</x:v>
      </x:c>
      <x:c r="L38" s="28" t="n">
        <x:f>IFERROR(J38/K38,0)</x:f>
        <x:v>1.25</x:v>
      </x:c>
      <x:c r="M38" s="29" t="n">
        <x:f>J38-K38</x:f>
        <x:v>300000</x:v>
      </x:c>
    </x:row>
    <x:row r="39">
      <x:c r="A39" s="27" t="n">
        <x:v>46179</x:v>
      </x:c>
      <x:c r="B39" s="7" t="str">
        <x:v>INV-1038</x:v>
      </x:c>
      <x:c r="C39" s="7" t="str">
        <x:v>Premium Support</x:v>
      </x:c>
      <x:c r="D39" s="7" t="str">
        <x:v>Service</x:v>
      </x:c>
      <x:c r="E39" s="7" t="str">
        <x:v>Bandung</x:v>
      </x:c>
      <x:c r="F39" s="7" t="str">
        <x:v>Sales Team</x:v>
      </x:c>
      <x:c r="G39" s="7" t="n">
        <x:v>3</x:v>
      </x:c>
      <x:c r="H39" s="28" t="n">
        <x:v>0.05</x:v>
      </x:c>
      <x:c r="I39" s="7" t="str">
        <x:v>Closed Won</x:v>
      </x:c>
      <x:c r="J39" s="29" t="n">
        <x:v>5130000</x:v>
      </x:c>
      <x:c r="K39" s="29" t="n">
        <x:v>4800000</x:v>
      </x:c>
      <x:c r="L39" s="28" t="n">
        <x:f>IFERROR(J39/K39,0)</x:f>
        <x:v>1.06875</x:v>
      </x:c>
      <x:c r="M39" s="29" t="n">
        <x:f>J39-K39</x:f>
        <x:v>330000</x:v>
      </x:c>
    </x:row>
    <x:row r="40">
      <x:c r="A40" s="27" t="n">
        <x:v>46179</x:v>
      </x:c>
      <x:c r="B40" s="7" t="str">
        <x:v>INV-1039</x:v>
      </x:c>
      <x:c r="C40" s="7" t="str">
        <x:v>Premium Support</x:v>
      </x:c>
      <x:c r="D40" s="7" t="str">
        <x:v>Service</x:v>
      </x:c>
      <x:c r="E40" s="7" t="str">
        <x:v>Bandung</x:v>
      </x:c>
      <x:c r="F40" s="7" t="str">
        <x:v>Referral</x:v>
      </x:c>
      <x:c r="G40" s="7" t="n">
        <x:v>1</x:v>
      </x:c>
      <x:c r="H40" s="28" t="n">
        <x:v>0.05</x:v>
      </x:c>
      <x:c r="I40" s="7" t="str">
        <x:v>Closed Won</x:v>
      </x:c>
      <x:c r="J40" s="29" t="n">
        <x:v>1710000</x:v>
      </x:c>
      <x:c r="K40" s="29" t="n">
        <x:v>1600000</x:v>
      </x:c>
      <x:c r="L40" s="28" t="n">
        <x:f>IFERROR(J40/K40,0)</x:f>
        <x:v>1.06875</x:v>
      </x:c>
      <x:c r="M40" s="29" t="n">
        <x:f>J40-K40</x:f>
        <x:v>110000</x:v>
      </x:c>
    </x:row>
    <x:row r="41">
      <x:c r="A41" s="27" t="n">
        <x:v>46180</x:v>
      </x:c>
      <x:c r="B41" s="7" t="str">
        <x:v>INV-1040</x:v>
      </x:c>
      <x:c r="C41" s="7" t="str">
        <x:v>Basic Analytics Pack</x:v>
      </x:c>
      <x:c r="D41" s="7" t="str">
        <x:v>Software</x:v>
      </x:c>
      <x:c r="E41" s="7" t="str">
        <x:v>Jakarta</x:v>
      </x:c>
      <x:c r="F41" s="7" t="str">
        <x:v>Referral</x:v>
      </x:c>
      <x:c r="G41" s="7" t="n">
        <x:v>1</x:v>
      </x:c>
      <x:c r="H41" s="28" t="n">
        <x:v>0.05</x:v>
      </x:c>
      <x:c r="I41" s="7" t="str">
        <x:v>Closed Won</x:v>
      </x:c>
      <x:c r="J41" s="29" t="n">
        <x:v>1596000</x:v>
      </x:c>
      <x:c r="K41" s="29" t="n">
        <x:v>1200000</x:v>
      </x:c>
      <x:c r="L41" s="28" t="n">
        <x:f>IFERROR(J41/K41,0)</x:f>
        <x:v>1.33</x:v>
      </x:c>
      <x:c r="M41" s="29" t="n">
        <x:f>J41-K41</x:f>
        <x:v>396000</x:v>
      </x:c>
    </x:row>
    <x:row r="42">
      <x:c r="A42" s="27" t="n">
        <x:v>46180</x:v>
      </x:c>
      <x:c r="B42" s="7" t="str">
        <x:v>INV-1041</x:v>
      </x:c>
      <x:c r="C42" s="7" t="str">
        <x:v>Data Training Seat</x:v>
      </x:c>
      <x:c r="D42" s="7" t="str">
        <x:v>Training</x:v>
      </x:c>
      <x:c r="E42" s="7" t="str">
        <x:v>Jakarta</x:v>
      </x:c>
      <x:c r="F42" s="7" t="str">
        <x:v>Website</x:v>
      </x:c>
      <x:c r="G42" s="7" t="n">
        <x:v>1</x:v>
      </x:c>
      <x:c r="H42" s="28" t="n">
        <x:v>0.05</x:v>
      </x:c>
      <x:c r="I42" s="7" t="str">
        <x:v>Cancelled</x:v>
      </x:c>
      <x:c r="J42" s="29" t="n">
        <x:v>0</x:v>
      </x:c>
      <x:c r="K42" s="29" t="n">
        <x:v>2000000</x:v>
      </x:c>
      <x:c r="L42" s="28" t="n">
        <x:f>IFERROR(J42/K42,0)</x:f>
        <x:v>0</x:v>
      </x:c>
      <x:c r="M42" s="29" t="n">
        <x:f>J42-K42</x:f>
        <x:v>-2000000</x:v>
      </x:c>
    </x:row>
    <x:row r="43">
      <x:c r="A43" s="27" t="n">
        <x:v>46180</x:v>
      </x:c>
      <x:c r="B43" s="7" t="str">
        <x:v>INV-1042</x:v>
      </x:c>
      <x:c r="C43" s="7" t="str">
        <x:v>AI Report Builder</x:v>
      </x:c>
      <x:c r="D43" s="7" t="str">
        <x:v>AI Tool</x:v>
      </x:c>
      <x:c r="E43" s="7" t="str">
        <x:v>Jakarta</x:v>
      </x:c>
      <x:c r="F43" s="7" t="str">
        <x:v>Partner</x:v>
      </x:c>
      <x:c r="G43" s="7" t="n">
        <x:v>1</x:v>
      </x:c>
      <x:c r="H43" s="28" t="n">
        <x:v>0</x:v>
      </x:c>
      <x:c r="I43" s="7" t="str">
        <x:v>Pending</x:v>
      </x:c>
      <x:c r="J43" s="29" t="n">
        <x:v>2083200</x:v>
      </x:c>
      <x:c r="K43" s="29" t="n">
        <x:v>4200000</x:v>
      </x:c>
      <x:c r="L43" s="28" t="n">
        <x:f>IFERROR(J43/K43,0)</x:f>
        <x:v>0.496</x:v>
      </x:c>
      <x:c r="M43" s="29" t="n">
        <x:f>J43-K43</x:f>
        <x:v>-2116800</x:v>
      </x:c>
    </x:row>
    <x:row r="44">
      <x:c r="A44" s="27" t="n">
        <x:v>46180</x:v>
      </x:c>
      <x:c r="B44" s="7" t="str">
        <x:v>INV-1043</x:v>
      </x:c>
      <x:c r="C44" s="7" t="str">
        <x:v>Data Training Seat</x:v>
      </x:c>
      <x:c r="D44" s="7" t="str">
        <x:v>Training</x:v>
      </x:c>
      <x:c r="E44" s="7" t="str">
        <x:v>Bandung</x:v>
      </x:c>
      <x:c r="F44" s="7" t="str">
        <x:v>Referral</x:v>
      </x:c>
      <x:c r="G44" s="7" t="n">
        <x:v>1</x:v>
      </x:c>
      <x:c r="H44" s="28" t="n">
        <x:v>0</x:v>
      </x:c>
      <x:c r="I44" s="7" t="str">
        <x:v>Closed Won</x:v>
      </x:c>
      <x:c r="J44" s="29" t="n">
        <x:v>2200000</x:v>
      </x:c>
      <x:c r="K44" s="29" t="n">
        <x:v>2000000</x:v>
      </x:c>
      <x:c r="L44" s="28" t="n">
        <x:f>IFERROR(J44/K44,0)</x:f>
        <x:v>1.1</x:v>
      </x:c>
      <x:c r="M44" s="29" t="n">
        <x:f>J44-K44</x:f>
        <x:v>200000</x:v>
      </x:c>
    </x:row>
    <x:row r="45">
      <x:c r="A45" s="27" t="n">
        <x:v>46180</x:v>
      </x:c>
      <x:c r="B45" s="7" t="str">
        <x:v>INV-1044</x:v>
      </x:c>
      <x:c r="C45" s="7" t="str">
        <x:v>Pro Dashboard Pack</x:v>
      </x:c>
      <x:c r="D45" s="7" t="str">
        <x:v>Software</x:v>
      </x:c>
      <x:c r="E45" s="7" t="str">
        <x:v>Jakarta</x:v>
      </x:c>
      <x:c r="F45" s="7" t="str">
        <x:v>Referral</x:v>
      </x:c>
      <x:c r="G45" s="7" t="n">
        <x:v>4</x:v>
      </x:c>
      <x:c r="H45" s="28" t="n">
        <x:v>0.1</x:v>
      </x:c>
      <x:c r="I45" s="7" t="str">
        <x:v>Closed Won</x:v>
      </x:c>
      <x:c r="J45" s="29" t="n">
        <x:v>14112000</x:v>
      </x:c>
      <x:c r="K45" s="29" t="n">
        <x:v>12000000</x:v>
      </x:c>
      <x:c r="L45" s="28" t="n">
        <x:f>IFERROR(J45/K45,0)</x:f>
        <x:v>1.176</x:v>
      </x:c>
      <x:c r="M45" s="29" t="n">
        <x:f>J45-K45</x:f>
        <x:v>2112000</x:v>
      </x:c>
    </x:row>
    <x:row r="46">
      <x:c r="A46" s="27" t="n">
        <x:v>46181</x:v>
      </x:c>
      <x:c r="B46" s="7" t="str">
        <x:v>INV-1045</x:v>
      </x:c>
      <x:c r="C46" s="7" t="str">
        <x:v>Consulting Hour</x:v>
      </x:c>
      <x:c r="D46" s="7" t="str">
        <x:v>Service</x:v>
      </x:c>
      <x:c r="E46" s="7" t="str">
        <x:v>Medan</x:v>
      </x:c>
      <x:c r="F46" s="7" t="str">
        <x:v>Website</x:v>
      </x:c>
      <x:c r="G46" s="7" t="n">
        <x:v>1</x:v>
      </x:c>
      <x:c r="H46" s="28" t="n">
        <x:v>0</x:v>
      </x:c>
      <x:c r="I46" s="7" t="str">
        <x:v>Closed Won</x:v>
      </x:c>
      <x:c r="J46" s="29" t="n">
        <x:v>792000</x:v>
      </x:c>
      <x:c r="K46" s="29" t="n">
        <x:v>850000</x:v>
      </x:c>
      <x:c r="L46" s="28" t="n">
        <x:f>IFERROR(J46/K46,0)</x:f>
        <x:v>0.9317647058823529</x:v>
      </x:c>
      <x:c r="M46" s="29" t="n">
        <x:f>J46-K46</x:f>
        <x:v>-58000</x:v>
      </x:c>
    </x:row>
    <x:row r="47">
      <x:c r="A47" s="27" t="n">
        <x:v>46181</x:v>
      </x:c>
      <x:c r="B47" s="7" t="str">
        <x:v>INV-1046</x:v>
      </x:c>
      <x:c r="C47" s="7" t="str">
        <x:v>Data Training Seat</x:v>
      </x:c>
      <x:c r="D47" s="7" t="str">
        <x:v>Training</x:v>
      </x:c>
      <x:c r="E47" s="7" t="str">
        <x:v>Bali</x:v>
      </x:c>
      <x:c r="F47" s="7" t="str">
        <x:v>Referral</x:v>
      </x:c>
      <x:c r="G47" s="7" t="n">
        <x:v>1</x:v>
      </x:c>
      <x:c r="H47" s="28" t="n">
        <x:v>0.05</x:v>
      </x:c>
      <x:c r="I47" s="7" t="str">
        <x:v>Closed Won</x:v>
      </x:c>
      <x:c r="J47" s="29" t="n">
        <x:v>2090000</x:v>
      </x:c>
      <x:c r="K47" s="29" t="n">
        <x:v>2000000</x:v>
      </x:c>
      <x:c r="L47" s="28" t="n">
        <x:f>IFERROR(J47/K47,0)</x:f>
        <x:v>1.045</x:v>
      </x:c>
      <x:c r="M47" s="29" t="n">
        <x:f>J47-K47</x:f>
        <x:v>90000</x:v>
      </x:c>
    </x:row>
    <x:row r="48">
      <x:c r="A48" s="27" t="n">
        <x:v>46181</x:v>
      </x:c>
      <x:c r="B48" s="7" t="str">
        <x:v>INV-1047</x:v>
      </x:c>
      <x:c r="C48" s="7" t="str">
        <x:v>Pro Dashboard Pack</x:v>
      </x:c>
      <x:c r="D48" s="7" t="str">
        <x:v>Software</x:v>
      </x:c>
      <x:c r="E48" s="7" t="str">
        <x:v>Bali</x:v>
      </x:c>
      <x:c r="F48" s="7" t="str">
        <x:v>Website</x:v>
      </x:c>
      <x:c r="G48" s="7" t="n">
        <x:v>2</x:v>
      </x:c>
      <x:c r="H48" s="28" t="n">
        <x:v>0</x:v>
      </x:c>
      <x:c r="I48" s="7" t="str">
        <x:v>Closed Won</x:v>
      </x:c>
      <x:c r="J48" s="29" t="n">
        <x:v>7000000</x:v>
      </x:c>
      <x:c r="K48" s="29" t="n">
        <x:v>6000000</x:v>
      </x:c>
      <x:c r="L48" s="28" t="n">
        <x:f>IFERROR(J48/K48,0)</x:f>
        <x:v>1.1666666666666667</x:v>
      </x:c>
      <x:c r="M48" s="29" t="n">
        <x:f>J48-K48</x:f>
        <x:v>1000000</x:v>
      </x:c>
    </x:row>
    <x:row r="49">
      <x:c r="A49" s="27" t="n">
        <x:v>46181</x:v>
      </x:c>
      <x:c r="B49" s="7" t="str">
        <x:v>INV-1048</x:v>
      </x:c>
      <x:c r="C49" s="7" t="str">
        <x:v>AI Report Builder</x:v>
      </x:c>
      <x:c r="D49" s="7" t="str">
        <x:v>AI Tool</x:v>
      </x:c>
      <x:c r="E49" s="7" t="str">
        <x:v>Bali</x:v>
      </x:c>
      <x:c r="F49" s="7" t="str">
        <x:v>Referral</x:v>
      </x:c>
      <x:c r="G49" s="7" t="n">
        <x:v>1</x:v>
      </x:c>
      <x:c r="H49" s="28" t="n">
        <x:v>0</x:v>
      </x:c>
      <x:c r="I49" s="7" t="str">
        <x:v>Closed Won</x:v>
      </x:c>
      <x:c r="J49" s="29" t="n">
        <x:v>5000000</x:v>
      </x:c>
      <x:c r="K49" s="29" t="n">
        <x:v>4200000</x:v>
      </x:c>
      <x:c r="L49" s="28" t="n">
        <x:f>IFERROR(J49/K49,0)</x:f>
        <x:v>1.1904761904761905</x:v>
      </x:c>
      <x:c r="M49" s="29" t="n">
        <x:f>J49-K49</x:f>
        <x:v>800000</x:v>
      </x:c>
    </x:row>
    <x:row r="50">
      <x:c r="A50" s="27" t="n">
        <x:v>46182</x:v>
      </x:c>
      <x:c r="B50" s="7" t="str">
        <x:v>INV-1049</x:v>
      </x:c>
      <x:c r="C50" s="7" t="str">
        <x:v>Basic Analytics Pack</x:v>
      </x:c>
      <x:c r="D50" s="7" t="str">
        <x:v>Software</x:v>
      </x:c>
      <x:c r="E50" s="7" t="str">
        <x:v>Medan</x:v>
      </x:c>
      <x:c r="F50" s="7" t="str">
        <x:v>Website</x:v>
      </x:c>
      <x:c r="G50" s="7" t="n">
        <x:v>3</x:v>
      </x:c>
      <x:c r="H50" s="28" t="n">
        <x:v>0</x:v>
      </x:c>
      <x:c r="I50" s="7" t="str">
        <x:v>Closed Won</x:v>
      </x:c>
      <x:c r="J50" s="29" t="n">
        <x:v>3960000</x:v>
      </x:c>
      <x:c r="K50" s="29" t="n">
        <x:v>3600000</x:v>
      </x:c>
      <x:c r="L50" s="28" t="n">
        <x:f>IFERROR(J50/K50,0)</x:f>
        <x:v>1.1</x:v>
      </x:c>
      <x:c r="M50" s="29" t="n">
        <x:f>J50-K50</x:f>
        <x:v>360000</x:v>
      </x:c>
    </x:row>
    <x:row r="51">
      <x:c r="A51" s="27" t="n">
        <x:v>46182</x:v>
      </x:c>
      <x:c r="B51" s="7" t="str">
        <x:v>INV-1050</x:v>
      </x:c>
      <x:c r="C51" s="7" t="str">
        <x:v>Basic Analytics Pack</x:v>
      </x:c>
      <x:c r="D51" s="7" t="str">
        <x:v>Software</x:v>
      </x:c>
      <x:c r="E51" s="7" t="str">
        <x:v>Medan</x:v>
      </x:c>
      <x:c r="F51" s="7" t="str">
        <x:v>Referral</x:v>
      </x:c>
      <x:c r="G51" s="7" t="n">
        <x:v>2</x:v>
      </x:c>
      <x:c r="H51" s="28" t="n">
        <x:v>0.1</x:v>
      </x:c>
      <x:c r="I51" s="7" t="str">
        <x:v>Closed Won</x:v>
      </x:c>
      <x:c r="J51" s="29" t="n">
        <x:v>2376000</x:v>
      </x:c>
      <x:c r="K51" s="29" t="n">
        <x:v>2400000</x:v>
      </x:c>
      <x:c r="L51" s="28" t="n">
        <x:f>IFERROR(J51/K51,0)</x:f>
        <x:v>0.99</x:v>
      </x:c>
      <x:c r="M51" s="29" t="n">
        <x:f>J51-K51</x:f>
        <x:v>-24000</x:v>
      </x:c>
    </x:row>
    <x:row r="52">
      <x:c r="A52" s="27" t="n">
        <x:v>46182</x:v>
      </x:c>
      <x:c r="B52" s="7" t="str">
        <x:v>INV-1051</x:v>
      </x:c>
      <x:c r="C52" s="7" t="str">
        <x:v>Basic Analytics Pack</x:v>
      </x:c>
      <x:c r="D52" s="7" t="str">
        <x:v>Software</x:v>
      </x:c>
      <x:c r="E52" s="7" t="str">
        <x:v>Medan</x:v>
      </x:c>
      <x:c r="F52" s="7" t="str">
        <x:v>Website</x:v>
      </x:c>
      <x:c r="G52" s="7" t="n">
        <x:v>4</x:v>
      </x:c>
      <x:c r="H52" s="28" t="n">
        <x:v>0</x:v>
      </x:c>
      <x:c r="I52" s="7" t="str">
        <x:v>Closed Won</x:v>
      </x:c>
      <x:c r="J52" s="29" t="n">
        <x:v>5280000</x:v>
      </x:c>
      <x:c r="K52" s="29" t="n">
        <x:v>4800000</x:v>
      </x:c>
      <x:c r="L52" s="28" t="n">
        <x:f>IFERROR(J52/K52,0)</x:f>
        <x:v>1.1</x:v>
      </x:c>
      <x:c r="M52" s="29" t="n">
        <x:f>J52-K52</x:f>
        <x:v>480000</x:v>
      </x:c>
    </x:row>
    <x:row r="53">
      <x:c r="A53" s="27" t="n">
        <x:v>46182</x:v>
      </x:c>
      <x:c r="B53" s="7" t="str">
        <x:v>INV-1052</x:v>
      </x:c>
      <x:c r="C53" s="7" t="str">
        <x:v>Premium Support</x:v>
      </x:c>
      <x:c r="D53" s="7" t="str">
        <x:v>Service</x:v>
      </x:c>
      <x:c r="E53" s="7" t="str">
        <x:v>Jakarta</x:v>
      </x:c>
      <x:c r="F53" s="7" t="str">
        <x:v>Partner</x:v>
      </x:c>
      <x:c r="G53" s="7" t="n">
        <x:v>2</x:v>
      </x:c>
      <x:c r="H53" s="28" t="n">
        <x:v>0</x:v>
      </x:c>
      <x:c r="I53" s="7" t="str">
        <x:v>Pending</x:v>
      </x:c>
      <x:c r="J53" s="29" t="n">
        <x:v>1499904</x:v>
      </x:c>
      <x:c r="K53" s="29" t="n">
        <x:v>3200000</x:v>
      </x:c>
      <x:c r="L53" s="28" t="n">
        <x:f>IFERROR(J53/K53,0)</x:f>
        <x:v>0.46872</x:v>
      </x:c>
      <x:c r="M53" s="29" t="n">
        <x:f>J53-K53</x:f>
        <x:v>-1700096</x:v>
      </x:c>
    </x:row>
    <x:row r="54">
      <x:c r="A54" s="27" t="n">
        <x:v>46182</x:v>
      </x:c>
      <x:c r="B54" s="7" t="str">
        <x:v>INV-1053</x:v>
      </x:c>
      <x:c r="C54" s="7" t="str">
        <x:v>Pro Dashboard Pack</x:v>
      </x:c>
      <x:c r="D54" s="7" t="str">
        <x:v>Software</x:v>
      </x:c>
      <x:c r="E54" s="7" t="str">
        <x:v>Medan</x:v>
      </x:c>
      <x:c r="F54" s="7" t="str">
        <x:v>Website</x:v>
      </x:c>
      <x:c r="G54" s="7" t="n">
        <x:v>2</x:v>
      </x:c>
      <x:c r="H54" s="28" t="n">
        <x:v>0</x:v>
      </x:c>
      <x:c r="I54" s="7" t="str">
        <x:v>Closed Won</x:v>
      </x:c>
      <x:c r="J54" s="29" t="n">
        <x:v>6160000</x:v>
      </x:c>
      <x:c r="K54" s="29" t="n">
        <x:v>6000000</x:v>
      </x:c>
      <x:c r="L54" s="28" t="n">
        <x:f>IFERROR(J54/K54,0)</x:f>
        <x:v>1.0266666666666666</x:v>
      </x:c>
      <x:c r="M54" s="29" t="n">
        <x:f>J54-K54</x:f>
        <x:v>160000</x:v>
      </x:c>
    </x:row>
    <x:row r="55">
      <x:c r="A55" s="27" t="n">
        <x:v>46183</x:v>
      </x:c>
      <x:c r="B55" s="7" t="str">
        <x:v>INV-1054</x:v>
      </x:c>
      <x:c r="C55" s="7" t="str">
        <x:v>Premium Support</x:v>
      </x:c>
      <x:c r="D55" s="7" t="str">
        <x:v>Service</x:v>
      </x:c>
      <x:c r="E55" s="7" t="str">
        <x:v>Medan</x:v>
      </x:c>
      <x:c r="F55" s="7" t="str">
        <x:v>Sales Team</x:v>
      </x:c>
      <x:c r="G55" s="7" t="n">
        <x:v>1</x:v>
      </x:c>
      <x:c r="H55" s="28" t="n">
        <x:v>0</x:v>
      </x:c>
      <x:c r="I55" s="7" t="str">
        <x:v>Cancelled</x:v>
      </x:c>
      <x:c r="J55" s="29" t="n">
        <x:v>0</x:v>
      </x:c>
      <x:c r="K55" s="29" t="n">
        <x:v>1600000</x:v>
      </x:c>
      <x:c r="L55" s="28" t="n">
        <x:f>IFERROR(J55/K55,0)</x:f>
        <x:v>0</x:v>
      </x:c>
      <x:c r="M55" s="29" t="n">
        <x:f>J55-K55</x:f>
        <x:v>-1600000</x:v>
      </x:c>
    </x:row>
    <x:row r="56">
      <x:c r="A56" s="27" t="n">
        <x:v>46183</x:v>
      </x:c>
      <x:c r="B56" s="7" t="str">
        <x:v>INV-1055</x:v>
      </x:c>
      <x:c r="C56" s="7" t="str">
        <x:v>Consulting Hour</x:v>
      </x:c>
      <x:c r="D56" s="7" t="str">
        <x:v>Service</x:v>
      </x:c>
      <x:c r="E56" s="7" t="str">
        <x:v>Surabaya</x:v>
      </x:c>
      <x:c r="F56" s="7" t="str">
        <x:v>Partner</x:v>
      </x:c>
      <x:c r="G56" s="7" t="n">
        <x:v>1</x:v>
      </x:c>
      <x:c r="H56" s="28" t="n">
        <x:v>0.05</x:v>
      </x:c>
      <x:c r="I56" s="7" t="str">
        <x:v>Closed Won</x:v>
      </x:c>
      <x:c r="J56" s="29" t="n">
        <x:v>795150</x:v>
      </x:c>
      <x:c r="K56" s="29" t="n">
        <x:v>850000</x:v>
      </x:c>
      <x:c r="L56" s="28" t="n">
        <x:f>IFERROR(J56/K56,0)</x:f>
        <x:v>0.9354705882352942</x:v>
      </x:c>
      <x:c r="M56" s="29" t="n">
        <x:f>J56-K56</x:f>
        <x:v>-54850</x:v>
      </x:c>
    </x:row>
    <x:row r="57">
      <x:c r="A57" s="27" t="n">
        <x:v>46183</x:v>
      </x:c>
      <x:c r="B57" s="7" t="str">
        <x:v>INV-1056</x:v>
      </x:c>
      <x:c r="C57" s="7" t="str">
        <x:v>Consulting Hour</x:v>
      </x:c>
      <x:c r="D57" s="7" t="str">
        <x:v>Service</x:v>
      </x:c>
      <x:c r="E57" s="7" t="str">
        <x:v>Surabaya</x:v>
      </x:c>
      <x:c r="F57" s="7" t="str">
        <x:v>Referral</x:v>
      </x:c>
      <x:c r="G57" s="7" t="n">
        <x:v>15</x:v>
      </x:c>
      <x:c r="H57" s="28" t="n">
        <x:v>0</x:v>
      </x:c>
      <x:c r="I57" s="7" t="str">
        <x:v>Closed Won</x:v>
      </x:c>
      <x:c r="J57" s="29" t="n">
        <x:v>900000</x:v>
      </x:c>
      <x:c r="K57" s="29" t="n">
        <x:v>850000</x:v>
      </x:c>
      <x:c r="L57" s="28" t="n">
        <x:f>IFERROR(J57/K57,0)</x:f>
        <x:v>1.0588235294117647</x:v>
      </x:c>
      <x:c r="M57" s="29" t="n">
        <x:f>J57-K57</x:f>
        <x:v>50000</x:v>
      </x:c>
    </x:row>
    <x:row r="58">
      <x:c r="A58" s="27" t="n">
        <x:v>46183</x:v>
      </x:c>
      <x:c r="B58" s="7" t="str">
        <x:v>INV-1057</x:v>
      </x:c>
      <x:c r="C58" s="7" t="str">
        <x:v>Data Training Seat</x:v>
      </x:c>
      <x:c r="D58" s="7" t="str">
        <x:v>Training</x:v>
      </x:c>
      <x:c r="E58" s="7" t="str">
        <x:v>Medan</x:v>
      </x:c>
      <x:c r="F58" s="7" t="str">
        <x:v>Website</x:v>
      </x:c>
      <x:c r="G58" s="7" t="n">
        <x:v>1</x:v>
      </x:c>
      <x:c r="H58" s="28" t="n">
        <x:v>0.1</x:v>
      </x:c>
      <x:c r="I58" s="7" t="str">
        <x:v>Closed Won</x:v>
      </x:c>
      <x:c r="J58" s="29" t="n">
        <x:v>1742400</x:v>
      </x:c>
      <x:c r="K58" s="29" t="n">
        <x:v>2000000</x:v>
      </x:c>
      <x:c r="L58" s="28" t="n">
        <x:f>IFERROR(J58/K58,0)</x:f>
        <x:v>0.8712</x:v>
      </x:c>
      <x:c r="M58" s="29" t="n">
        <x:f>J58-K58</x:f>
        <x:v>-257600</x:v>
      </x:c>
    </x:row>
    <x:row r="59">
      <x:c r="A59" s="27" t="n">
        <x:v>46183</x:v>
      </x:c>
      <x:c r="B59" s="7" t="str">
        <x:v>INV-1058</x:v>
      </x:c>
      <x:c r="C59" s="7" t="str">
        <x:v>Premium Support</x:v>
      </x:c>
      <x:c r="D59" s="7" t="str">
        <x:v>Service</x:v>
      </x:c>
      <x:c r="E59" s="7" t="str">
        <x:v>Surabaya</x:v>
      </x:c>
      <x:c r="F59" s="7" t="str">
        <x:v>Partner</x:v>
      </x:c>
      <x:c r="G59" s="7" t="n">
        <x:v>1</x:v>
      </x:c>
      <x:c r="H59" s="28" t="n">
        <x:v>0</x:v>
      </x:c>
      <x:c r="I59" s="7" t="str">
        <x:v>Closed Won</x:v>
      </x:c>
      <x:c r="J59" s="29" t="n">
        <x:v>1674000</x:v>
      </x:c>
      <x:c r="K59" s="29" t="n">
        <x:v>1600000</x:v>
      </x:c>
      <x:c r="L59" s="28" t="n">
        <x:f>IFERROR(J59/K59,0)</x:f>
        <x:v>1.04625</x:v>
      </x:c>
      <x:c r="M59" s="29" t="n">
        <x:f>J59-K59</x:f>
        <x:v>74000</x:v>
      </x:c>
    </x:row>
    <x:row r="60">
      <x:c r="A60" s="27" t="n">
        <x:v>46183</x:v>
      </x:c>
      <x:c r="B60" s="7" t="str">
        <x:v>INV-1059</x:v>
      </x:c>
      <x:c r="C60" s="7" t="str">
        <x:v>AI Report Builder</x:v>
      </x:c>
      <x:c r="D60" s="7" t="str">
        <x:v>AI Tool</x:v>
      </x:c>
      <x:c r="E60" s="7" t="str">
        <x:v>Surabaya</x:v>
      </x:c>
      <x:c r="F60" s="7" t="str">
        <x:v>Partner</x:v>
      </x:c>
      <x:c r="G60" s="7" t="n">
        <x:v>2</x:v>
      </x:c>
      <x:c r="H60" s="28" t="n">
        <x:v>0.1</x:v>
      </x:c>
      <x:c r="I60" s="7" t="str">
        <x:v>Cancelled</x:v>
      </x:c>
      <x:c r="J60" s="29" t="n">
        <x:v>0</x:v>
      </x:c>
      <x:c r="K60" s="29" t="n">
        <x:v>8400000</x:v>
      </x:c>
      <x:c r="L60" s="28" t="n">
        <x:f>IFERROR(J60/K60,0)</x:f>
        <x:v>0</x:v>
      </x:c>
      <x:c r="M60" s="29" t="n">
        <x:f>J60-K60</x:f>
        <x:v>-8400000</x:v>
      </x:c>
    </x:row>
    <x:row r="61">
      <x:c r="A61" s="27" t="n">
        <x:v>46183</x:v>
      </x:c>
      <x:c r="B61" s="7" t="str">
        <x:v>INV-1060</x:v>
      </x:c>
      <x:c r="C61" s="7" t="str">
        <x:v>AI Report Builder</x:v>
      </x:c>
      <x:c r="D61" s="7" t="str">
        <x:v>AI Tool</x:v>
      </x:c>
      <x:c r="E61" s="7" t="str">
        <x:v>Medan</x:v>
      </x:c>
      <x:c r="F61" s="7" t="str">
        <x:v>Website</x:v>
      </x:c>
      <x:c r="G61" s="7" t="n">
        <x:v>3</x:v>
      </x:c>
      <x:c r="H61" s="28" t="n">
        <x:v>0.1</x:v>
      </x:c>
      <x:c r="I61" s="7" t="str">
        <x:v>Closed Won</x:v>
      </x:c>
      <x:c r="J61" s="29" t="n">
        <x:v>11880000</x:v>
      </x:c>
      <x:c r="K61" s="29" t="n">
        <x:v>12600000</x:v>
      </x:c>
      <x:c r="L61" s="28" t="n">
        <x:f>IFERROR(J61/K61,0)</x:f>
        <x:v>0.9428571428571428</x:v>
      </x:c>
      <x:c r="M61" s="29" t="n">
        <x:f>J61-K61</x:f>
        <x:v>-720000</x:v>
      </x:c>
    </x:row>
    <x:row r="62">
      <x:c r="A62" s="27" t="n">
        <x:v>46183</x:v>
      </x:c>
      <x:c r="B62" s="7" t="str">
        <x:v>INV-1061</x:v>
      </x:c>
      <x:c r="C62" s="7" t="str">
        <x:v>Consulting Hour</x:v>
      </x:c>
      <x:c r="D62" s="7" t="str">
        <x:v>Service</x:v>
      </x:c>
      <x:c r="E62" s="7" t="str">
        <x:v>Jakarta</x:v>
      </x:c>
      <x:c r="F62" s="7" t="str">
        <x:v>Partner</x:v>
      </x:c>
      <x:c r="G62" s="7" t="n">
        <x:v>1</x:v>
      </x:c>
      <x:c r="H62" s="28" t="n">
        <x:v>0</x:v>
      </x:c>
      <x:c r="I62" s="7" t="str">
        <x:v>Closed Won</x:v>
      </x:c>
      <x:c r="J62" s="29" t="n">
        <x:v>937440</x:v>
      </x:c>
      <x:c r="K62" s="29" t="n">
        <x:v>850000</x:v>
      </x:c>
      <x:c r="L62" s="28" t="n">
        <x:f>IFERROR(J62/K62,0)</x:f>
        <x:v>1.102870588235294</x:v>
      </x:c>
      <x:c r="M62" s="29" t="n">
        <x:f>J62-K62</x:f>
        <x:v>87440</x:v>
      </x:c>
    </x:row>
    <x:row r="63">
      <x:c r="A63" s="27" t="n">
        <x:v>46184</x:v>
      </x:c>
      <x:c r="B63" s="7" t="str">
        <x:v>INV-1062</x:v>
      </x:c>
      <x:c r="C63" s="7" t="str">
        <x:v>Pro Dashboard Pack</x:v>
      </x:c>
      <x:c r="D63" s="7" t="str">
        <x:v>Software</x:v>
      </x:c>
      <x:c r="E63" s="7" t="str">
        <x:v>Surabaya</x:v>
      </x:c>
      <x:c r="F63" s="7" t="str">
        <x:v>Sales Team</x:v>
      </x:c>
      <x:c r="G63" s="7" t="n">
        <x:v>2</x:v>
      </x:c>
      <x:c r="H63" s="28" t="n">
        <x:v>0</x:v>
      </x:c>
      <x:c r="I63" s="7" t="str">
        <x:v>Cancelled</x:v>
      </x:c>
      <x:c r="J63" s="29" t="n">
        <x:v>0</x:v>
      </x:c>
      <x:c r="K63" s="29" t="n">
        <x:v>6000000</x:v>
      </x:c>
      <x:c r="L63" s="28" t="n">
        <x:f>IFERROR(J63/K63,0)</x:f>
        <x:v>0</x:v>
      </x:c>
      <x:c r="M63" s="29" t="n">
        <x:f>J63-K63</x:f>
        <x:v>-6000000</x:v>
      </x:c>
    </x:row>
    <x:row r="64">
      <x:c r="A64" s="27" t="n">
        <x:v>46184</x:v>
      </x:c>
      <x:c r="B64" s="7" t="str">
        <x:v>INV-1063</x:v>
      </x:c>
      <x:c r="C64" s="7" t="str">
        <x:v>AI Report Builder</x:v>
      </x:c>
      <x:c r="D64" s="7" t="str">
        <x:v>AI Tool</x:v>
      </x:c>
      <x:c r="E64" s="7" t="str">
        <x:v>Bandung</x:v>
      </x:c>
      <x:c r="F64" s="7" t="str">
        <x:v>Sales Team</x:v>
      </x:c>
      <x:c r="G64" s="7" t="n">
        <x:v>2</x:v>
      </x:c>
      <x:c r="H64" s="28" t="n">
        <x:v>0.05</x:v>
      </x:c>
      <x:c r="I64" s="7" t="str">
        <x:v>Closed Won</x:v>
      </x:c>
      <x:c r="J64" s="29" t="n">
        <x:v>9500000</x:v>
      </x:c>
      <x:c r="K64" s="29" t="n">
        <x:v>8400000</x:v>
      </x:c>
      <x:c r="L64" s="28" t="n">
        <x:f>IFERROR(J64/K64,0)</x:f>
        <x:v>1.130952380952381</x:v>
      </x:c>
      <x:c r="M64" s="29" t="n">
        <x:f>J64-K64</x:f>
        <x:v>1100000</x:v>
      </x:c>
    </x:row>
    <x:row r="65">
      <x:c r="A65" s="27" t="n">
        <x:v>46184</x:v>
      </x:c>
      <x:c r="B65" s="7" t="str">
        <x:v>INV-1064</x:v>
      </x:c>
      <x:c r="C65" s="7" t="str">
        <x:v>Basic Analytics Pack</x:v>
      </x:c>
      <x:c r="D65" s="7" t="str">
        <x:v>Software</x:v>
      </x:c>
      <x:c r="E65" s="7" t="str">
        <x:v>Jakarta</x:v>
      </x:c>
      <x:c r="F65" s="7" t="str">
        <x:v>Referral</x:v>
      </x:c>
      <x:c r="G65" s="7" t="n">
        <x:v>4</x:v>
      </x:c>
      <x:c r="H65" s="28" t="n">
        <x:v>0</x:v>
      </x:c>
      <x:c r="I65" s="7" t="str">
        <x:v>Closed Won</x:v>
      </x:c>
      <x:c r="J65" s="29" t="n">
        <x:v>6720000</x:v>
      </x:c>
      <x:c r="K65" s="29" t="n">
        <x:v>4800000</x:v>
      </x:c>
      <x:c r="L65" s="28" t="n">
        <x:f>IFERROR(J65/K65,0)</x:f>
        <x:v>1.4</x:v>
      </x:c>
      <x:c r="M65" s="29" t="n">
        <x:f>J65-K65</x:f>
        <x:v>1920000</x:v>
      </x:c>
    </x:row>
    <x:row r="66">
      <x:c r="A66" s="27" t="n">
        <x:v>46184</x:v>
      </x:c>
      <x:c r="B66" s="7" t="str">
        <x:v>INV-1065</x:v>
      </x:c>
      <x:c r="C66" s="7" t="str">
        <x:v>Basic Analytics Pack</x:v>
      </x:c>
      <x:c r="D66" s="7" t="str">
        <x:v>Software</x:v>
      </x:c>
      <x:c r="E66" s="7" t="str">
        <x:v>Surabaya</x:v>
      </x:c>
      <x:c r="F66" s="7" t="str">
        <x:v>Partner</x:v>
      </x:c>
      <x:c r="G66" s="7" t="n">
        <x:v>3</x:v>
      </x:c>
      <x:c r="H66" s="28" t="n">
        <x:v>0</x:v>
      </x:c>
      <x:c r="I66" s="7" t="str">
        <x:v>Closed Won</x:v>
      </x:c>
      <x:c r="J66" s="29" t="n">
        <x:v>4185000</x:v>
      </x:c>
      <x:c r="K66" s="29" t="n">
        <x:v>3600000</x:v>
      </x:c>
      <x:c r="L66" s="28" t="n">
        <x:f>IFERROR(J66/K66,0)</x:f>
        <x:v>1.1625</x:v>
      </x:c>
      <x:c r="M66" s="29" t="n">
        <x:f>J66-K66</x:f>
        <x:v>585000</x:v>
      </x:c>
    </x:row>
    <x:row r="67">
      <x:c r="A67" s="27" t="n">
        <x:v>46184</x:v>
      </x:c>
      <x:c r="B67" s="7" t="str">
        <x:v>INV-1066</x:v>
      </x:c>
      <x:c r="C67" s="7" t="str">
        <x:v>Consulting Hour</x:v>
      </x:c>
      <x:c r="D67" s="7" t="str">
        <x:v>Service</x:v>
      </x:c>
      <x:c r="E67" s="7" t="str">
        <x:v>Bali</x:v>
      </x:c>
      <x:c r="F67" s="7" t="str">
        <x:v>Referral</x:v>
      </x:c>
      <x:c r="G67" s="7" t="n">
        <x:v>2</x:v>
      </x:c>
      <x:c r="H67" s="28" t="n">
        <x:v>0</x:v>
      </x:c>
      <x:c r="I67" s="7" t="str">
        <x:v>Closed Won</x:v>
      </x:c>
      <x:c r="J67" s="29" t="n">
        <x:v>1800000</x:v>
      </x:c>
      <x:c r="K67" s="29" t="n">
        <x:v>1700000</x:v>
      </x:c>
      <x:c r="L67" s="28" t="n">
        <x:f>IFERROR(J67/K67,0)</x:f>
        <x:v>1.0588235294117647</x:v>
      </x:c>
      <x:c r="M67" s="29" t="n">
        <x:f>J67-K67</x:f>
        <x:v>100000</x:v>
      </x:c>
    </x:row>
    <x:row r="68">
      <x:c r="A68" s="27" t="n">
        <x:v>46184</x:v>
      </x:c>
      <x:c r="B68" s="7" t="str">
        <x:v>INV-1067</x:v>
      </x:c>
      <x:c r="C68" s="7" t="str">
        <x:v>Basic Analytics Pack</x:v>
      </x:c>
      <x:c r="D68" s="7" t="str">
        <x:v>Software</x:v>
      </x:c>
      <x:c r="E68" s="7" t="str">
        <x:v>Bandung</x:v>
      </x:c>
      <x:c r="F68" s="7" t="str">
        <x:v>Website</x:v>
      </x:c>
      <x:c r="G68" s="7" t="n">
        <x:v>4</x:v>
      </x:c>
      <x:c r="H68" s="28" t="n">
        <x:v>0</x:v>
      </x:c>
      <x:c r="I68" s="7" t="str">
        <x:v>Pending</x:v>
      </x:c>
      <x:c r="J68" s="29" t="n">
        <x:v>2400000</x:v>
      </x:c>
      <x:c r="K68" s="29" t="n">
        <x:v>4800000</x:v>
      </x:c>
      <x:c r="L68" s="28" t="n">
        <x:f>IFERROR(J68/K68,0)</x:f>
        <x:v>0.5</x:v>
      </x:c>
      <x:c r="M68" s="29" t="n">
        <x:f>J68-K68</x:f>
        <x:v>-2400000</x:v>
      </x:c>
    </x:row>
    <x:row r="69">
      <x:c r="A69" s="27" t="n">
        <x:v>46184</x:v>
      </x:c>
      <x:c r="B69" s="7" t="str">
        <x:v>INV-1068</x:v>
      </x:c>
      <x:c r="C69" s="7" t="str">
        <x:v>Premium Support</x:v>
      </x:c>
      <x:c r="D69" s="7" t="str">
        <x:v>Service</x:v>
      </x:c>
      <x:c r="E69" s="7" t="str">
        <x:v>Bandung</x:v>
      </x:c>
      <x:c r="F69" s="7" t="str">
        <x:v>Referral</x:v>
      </x:c>
      <x:c r="G69" s="7" t="n">
        <x:v>1</x:v>
      </x:c>
      <x:c r="H69" s="28" t="n">
        <x:v>0</x:v>
      </x:c>
      <x:c r="I69" s="7" t="str">
        <x:v>Closed Won</x:v>
      </x:c>
      <x:c r="J69" s="29" t="n">
        <x:v>1800000</x:v>
      </x:c>
      <x:c r="K69" s="29" t="n">
        <x:v>1600000</x:v>
      </x:c>
      <x:c r="L69" s="28" t="n">
        <x:f>IFERROR(J69/K69,0)</x:f>
        <x:v>1.125</x:v>
      </x:c>
      <x:c r="M69" s="29" t="n">
        <x:f>J69-K69</x:f>
        <x:v>200000</x:v>
      </x:c>
    </x:row>
    <x:row r="70">
      <x:c r="A70" s="27" t="n">
        <x:v>46184</x:v>
      </x:c>
      <x:c r="B70" s="7" t="str">
        <x:v>INV-1069</x:v>
      </x:c>
      <x:c r="C70" s="7" t="str">
        <x:v>AI Report Builder</x:v>
      </x:c>
      <x:c r="D70" s="7" t="str">
        <x:v>AI Tool</x:v>
      </x:c>
      <x:c r="E70" s="7" t="str">
        <x:v>Jakarta</x:v>
      </x:c>
      <x:c r="F70" s="7" t="str">
        <x:v>Sales Team</x:v>
      </x:c>
      <x:c r="G70" s="7" t="n">
        <x:v>1</x:v>
      </x:c>
      <x:c r="H70" s="28" t="n">
        <x:v>0.15</x:v>
      </x:c>
      <x:c r="I70" s="7" t="str">
        <x:v>Closed Won</x:v>
      </x:c>
      <x:c r="J70" s="29" t="n">
        <x:v>4760000</x:v>
      </x:c>
      <x:c r="K70" s="29" t="n">
        <x:v>4200000</x:v>
      </x:c>
      <x:c r="L70" s="28" t="n">
        <x:f>IFERROR(J70/K70,0)</x:f>
        <x:v>1.1333333333333333</x:v>
      </x:c>
      <x:c r="M70" s="29" t="n">
        <x:f>J70-K70</x:f>
        <x:v>560000</x:v>
      </x:c>
    </x:row>
    <x:row r="71">
      <x:c r="A71" s="27" t="n">
        <x:v>46185</x:v>
      </x:c>
      <x:c r="B71" s="7" t="str">
        <x:v>INV-1070</x:v>
      </x:c>
      <x:c r="C71" s="7" t="str">
        <x:v>AI Report Builder</x:v>
      </x:c>
      <x:c r="D71" s="7" t="str">
        <x:v>AI Tool</x:v>
      </x:c>
      <x:c r="E71" s="7" t="str">
        <x:v>Medan</x:v>
      </x:c>
      <x:c r="F71" s="7" t="str">
        <x:v>Referral</x:v>
      </x:c>
      <x:c r="G71" s="7" t="n">
        <x:v>2</x:v>
      </x:c>
      <x:c r="H71" s="28" t="n">
        <x:v>0.15</x:v>
      </x:c>
      <x:c r="I71" s="7" t="str">
        <x:v>Closed Won</x:v>
      </x:c>
      <x:c r="J71" s="29" t="n">
        <x:v>7480000</x:v>
      </x:c>
      <x:c r="K71" s="29" t="n">
        <x:v>8400000</x:v>
      </x:c>
      <x:c r="L71" s="28" t="n">
        <x:f>IFERROR(J71/K71,0)</x:f>
        <x:v>0.8904761904761904</x:v>
      </x:c>
      <x:c r="M71" s="29" t="n">
        <x:f>J71-K71</x:f>
        <x:v>-920000</x:v>
      </x:c>
    </x:row>
    <x:row r="72">
      <x:c r="A72" s="27" t="n">
        <x:v>46185</x:v>
      </x:c>
      <x:c r="B72" s="7" t="str">
        <x:v>INV-1071</x:v>
      </x:c>
      <x:c r="C72" s="7" t="str">
        <x:v>Pro Dashboard Pack</x:v>
      </x:c>
      <x:c r="D72" s="7" t="str">
        <x:v>Software</x:v>
      </x:c>
      <x:c r="E72" s="7" t="str">
        <x:v>Bandung</x:v>
      </x:c>
      <x:c r="F72" s="7" t="str">
        <x:v>Partner</x:v>
      </x:c>
      <x:c r="G72" s="7" t="n">
        <x:v>2</x:v>
      </x:c>
      <x:c r="H72" s="28" t="n">
        <x:v>0</x:v>
      </x:c>
      <x:c r="I72" s="7" t="str">
        <x:v>Closed Won</x:v>
      </x:c>
      <x:c r="J72" s="29" t="n">
        <x:v>6510000</x:v>
      </x:c>
      <x:c r="K72" s="29" t="n">
        <x:v>6000000</x:v>
      </x:c>
      <x:c r="L72" s="28" t="n">
        <x:f>IFERROR(J72/K72,0)</x:f>
        <x:v>1.085</x:v>
      </x:c>
      <x:c r="M72" s="29" t="n">
        <x:f>J72-K72</x:f>
        <x:v>510000</x:v>
      </x:c>
    </x:row>
    <x:row r="73">
      <x:c r="A73" s="27" t="n">
        <x:v>46185</x:v>
      </x:c>
      <x:c r="B73" s="7" t="str">
        <x:v>INV-1072</x:v>
      </x:c>
      <x:c r="C73" s="7" t="str">
        <x:v>Consulting Hour</x:v>
      </x:c>
      <x:c r="D73" s="7" t="str">
        <x:v>Service</x:v>
      </x:c>
      <x:c r="E73" s="7" t="str">
        <x:v>Surabaya</x:v>
      </x:c>
      <x:c r="F73" s="7" t="str">
        <x:v>Referral</x:v>
      </x:c>
      <x:c r="G73" s="7" t="n">
        <x:v>4</x:v>
      </x:c>
      <x:c r="H73" s="28" t="n">
        <x:v>0.15</x:v>
      </x:c>
      <x:c r="I73" s="7" t="str">
        <x:v>Cancelled</x:v>
      </x:c>
      <x:c r="J73" s="29" t="n">
        <x:v>0</x:v>
      </x:c>
      <x:c r="K73" s="29" t="n">
        <x:v>3400000</x:v>
      </x:c>
      <x:c r="L73" s="28" t="n">
        <x:f>IFERROR(J73/K73,0)</x:f>
        <x:v>0</x:v>
      </x:c>
      <x:c r="M73" s="29" t="n">
        <x:f>J73-K73</x:f>
        <x:v>-3400000</x:v>
      </x:c>
    </x:row>
    <x:row r="74">
      <x:c r="A74" s="27" t="n">
        <x:v>46185</x:v>
      </x:c>
      <x:c r="B74" s="7" t="str">
        <x:v>INV-1073</x:v>
      </x:c>
      <x:c r="C74" s="7" t="str">
        <x:v>Pro Dashboard Pack</x:v>
      </x:c>
      <x:c r="D74" s="7" t="str">
        <x:v>Software</x:v>
      </x:c>
      <x:c r="E74" s="7" t="str">
        <x:v>Surabaya</x:v>
      </x:c>
      <x:c r="F74" s="7" t="str">
        <x:v>Partner</x:v>
      </x:c>
      <x:c r="G74" s="7" t="n">
        <x:v>4</x:v>
      </x:c>
      <x:c r="H74" s="28" t="n">
        <x:v>0.15</x:v>
      </x:c>
      <x:c r="I74" s="7" t="str">
        <x:v>Closed Won</x:v>
      </x:c>
      <x:c r="J74" s="29" t="n">
        <x:v>11067000</x:v>
      </x:c>
      <x:c r="K74" s="29" t="n">
        <x:v>12000000</x:v>
      </x:c>
      <x:c r="L74" s="28" t="n">
        <x:f>IFERROR(J74/K74,0)</x:f>
        <x:v>0.92225</x:v>
      </x:c>
      <x:c r="M74" s="29" t="n">
        <x:f>J74-K74</x:f>
        <x:v>-933000</x:v>
      </x:c>
    </x:row>
    <x:row r="75">
      <x:c r="A75" s="27" t="n">
        <x:v>46186</x:v>
      </x:c>
      <x:c r="B75" s="7" t="str">
        <x:v>INV-1074</x:v>
      </x:c>
      <x:c r="C75" s="7" t="str">
        <x:v>Basic Analytics Pack</x:v>
      </x:c>
      <x:c r="D75" s="7" t="str">
        <x:v>Software</x:v>
      </x:c>
      <x:c r="E75" s="7" t="str">
        <x:v>Bali</x:v>
      </x:c>
      <x:c r="F75" s="7" t="str">
        <x:v>Partner</x:v>
      </x:c>
      <x:c r="G75" s="7" t="n">
        <x:v>1</x:v>
      </x:c>
      <x:c r="H75" s="28" t="n">
        <x:v>0.05</x:v>
      </x:c>
      <x:c r="I75" s="7" t="str">
        <x:v>Closed Won</x:v>
      </x:c>
      <x:c r="J75" s="29" t="n">
        <x:v>1325250</x:v>
      </x:c>
      <x:c r="K75" s="29" t="n">
        <x:v>1200000</x:v>
      </x:c>
      <x:c r="L75" s="28" t="n">
        <x:f>IFERROR(J75/K75,0)</x:f>
        <x:v>1.104375</x:v>
      </x:c>
      <x:c r="M75" s="29" t="n">
        <x:f>J75-K75</x:f>
        <x:v>125250</x:v>
      </x:c>
    </x:row>
    <x:row r="76">
      <x:c r="A76" s="27" t="n">
        <x:v>46186</x:v>
      </x:c>
      <x:c r="B76" s="7" t="str">
        <x:v>INV-1075</x:v>
      </x:c>
      <x:c r="C76" s="7" t="str">
        <x:v>AI Report Builder</x:v>
      </x:c>
      <x:c r="D76" s="7" t="str">
        <x:v>AI Tool</x:v>
      </x:c>
      <x:c r="E76" s="7" t="str">
        <x:v>Bandung</x:v>
      </x:c>
      <x:c r="F76" s="7" t="str">
        <x:v>Partner</x:v>
      </x:c>
      <x:c r="G76" s="7" t="n">
        <x:v>1</x:v>
      </x:c>
      <x:c r="H76" s="28" t="n">
        <x:v>0.15</x:v>
      </x:c>
      <x:c r="I76" s="7" t="str">
        <x:v>Closed Won</x:v>
      </x:c>
      <x:c r="J76" s="29" t="n">
        <x:v>3952500</x:v>
      </x:c>
      <x:c r="K76" s="29" t="n">
        <x:v>4200000</x:v>
      </x:c>
      <x:c r="L76" s="28" t="n">
        <x:f>IFERROR(J76/K76,0)</x:f>
        <x:v>0.9410714285714286</x:v>
      </x:c>
      <x:c r="M76" s="29" t="n">
        <x:f>J76-K76</x:f>
        <x:v>-247500</x:v>
      </x:c>
    </x:row>
    <x:row r="77">
      <x:c r="A77" s="27" t="n">
        <x:v>46186</x:v>
      </x:c>
      <x:c r="B77" s="7" t="str">
        <x:v>INV-1076</x:v>
      </x:c>
      <x:c r="C77" s="7" t="str">
        <x:v>Data Training Seat</x:v>
      </x:c>
      <x:c r="D77" s="7" t="str">
        <x:v>Training</x:v>
      </x:c>
      <x:c r="E77" s="7" t="str">
        <x:v>Surabaya</x:v>
      </x:c>
      <x:c r="F77" s="7" t="str">
        <x:v>Sales Team</x:v>
      </x:c>
      <x:c r="G77" s="7" t="n">
        <x:v>4</x:v>
      </x:c>
      <x:c r="H77" s="28" t="n">
        <x:v>0</x:v>
      </x:c>
      <x:c r="I77" s="7" t="str">
        <x:v>Closed Won</x:v>
      </x:c>
      <x:c r="J77" s="29" t="n">
        <x:v>8800000</x:v>
      </x:c>
      <x:c r="K77" s="29" t="n">
        <x:v>8000000</x:v>
      </x:c>
      <x:c r="L77" s="28" t="n">
        <x:f>IFERROR(J77/K77,0)</x:f>
        <x:v>1.1</x:v>
      </x:c>
      <x:c r="M77" s="29" t="n">
        <x:f>J77-K77</x:f>
        <x:v>800000</x:v>
      </x:c>
    </x:row>
    <x:row r="78">
      <x:c r="A78" s="27" t="n">
        <x:v>46186</x:v>
      </x:c>
      <x:c r="B78" s="7" t="str">
        <x:v>INV-1077</x:v>
      </x:c>
      <x:c r="C78" s="7" t="str">
        <x:v>AI Report Builder</x:v>
      </x:c>
      <x:c r="D78" s="7" t="str">
        <x:v>AI Tool</x:v>
      </x:c>
      <x:c r="E78" s="7" t="str">
        <x:v>Medan</x:v>
      </x:c>
      <x:c r="F78" s="7" t="str">
        <x:v>Referral</x:v>
      </x:c>
      <x:c r="G78" s="7" t="n">
        <x:v>3</x:v>
      </x:c>
      <x:c r="H78" s="28" t="n">
        <x:v>0.1</x:v>
      </x:c>
      <x:c r="I78" s="7" t="str">
        <x:v>Closed Won</x:v>
      </x:c>
      <x:c r="J78" s="29" t="n">
        <x:v>11880000</x:v>
      </x:c>
      <x:c r="K78" s="29" t="n">
        <x:v>12600000</x:v>
      </x:c>
      <x:c r="L78" s="28" t="n">
        <x:f>IFERROR(J78/K78,0)</x:f>
        <x:v>0.9428571428571428</x:v>
      </x:c>
      <x:c r="M78" s="29" t="n">
        <x:f>J78-K78</x:f>
        <x:v>-720000</x:v>
      </x:c>
    </x:row>
    <x:row r="79">
      <x:c r="A79" s="27" t="n">
        <x:v>46186</x:v>
      </x:c>
      <x:c r="B79" s="7" t="str">
        <x:v>INV-1078</x:v>
      </x:c>
      <x:c r="C79" s="7" t="str">
        <x:v>Basic Analytics Pack</x:v>
      </x:c>
      <x:c r="D79" s="7" t="str">
        <x:v>Software</x:v>
      </x:c>
      <x:c r="E79" s="7" t="str">
        <x:v>Jakarta</x:v>
      </x:c>
      <x:c r="F79" s="7" t="str">
        <x:v>Sales Team</x:v>
      </x:c>
      <x:c r="G79" s="7" t="n">
        <x:v>1</x:v>
      </x:c>
      <x:c r="H79" s="28" t="n">
        <x:v>0.1</x:v>
      </x:c>
      <x:c r="I79" s="7" t="str">
        <x:v>Closed Won</x:v>
      </x:c>
      <x:c r="J79" s="29" t="n">
        <x:v>1512000</x:v>
      </x:c>
      <x:c r="K79" s="29" t="n">
        <x:v>1200000</x:v>
      </x:c>
      <x:c r="L79" s="28" t="n">
        <x:f>IFERROR(J79/K79,0)</x:f>
        <x:v>1.26</x:v>
      </x:c>
      <x:c r="M79" s="29" t="n">
        <x:f>J79-K79</x:f>
        <x:v>312000</x:v>
      </x:c>
    </x:row>
    <x:row r="80">
      <x:c r="A80" s="27" t="n">
        <x:v>46186</x:v>
      </x:c>
      <x:c r="B80" s="7" t="str">
        <x:v>INV-1079</x:v>
      </x:c>
      <x:c r="C80" s="7" t="str">
        <x:v>Basic Analytics Pack</x:v>
      </x:c>
      <x:c r="D80" s="7" t="str">
        <x:v>Software</x:v>
      </x:c>
      <x:c r="E80" s="7" t="str">
        <x:v>Jakarta</x:v>
      </x:c>
      <x:c r="F80" s="7" t="str">
        <x:v>Referral</x:v>
      </x:c>
      <x:c r="G80" s="7" t="n">
        <x:v>1</x:v>
      </x:c>
      <x:c r="H80" s="28" t="n">
        <x:v>0.15</x:v>
      </x:c>
      <x:c r="I80" s="7" t="str">
        <x:v>Closed Won</x:v>
      </x:c>
      <x:c r="J80" s="29" t="n">
        <x:v>1428000</x:v>
      </x:c>
      <x:c r="K80" s="29" t="n">
        <x:v>1200000</x:v>
      </x:c>
      <x:c r="L80" s="28" t="n">
        <x:f>IFERROR(J80/K80,0)</x:f>
        <x:v>1.19</x:v>
      </x:c>
      <x:c r="M80" s="29" t="n">
        <x:f>J80-K80</x:f>
        <x:v>228000</x:v>
      </x:c>
    </x:row>
    <x:row r="81">
      <x:c r="A81" s="27" t="n">
        <x:v>46186</x:v>
      </x:c>
      <x:c r="B81" s="7" t="str">
        <x:v>INV-1080</x:v>
      </x:c>
      <x:c r="C81" s="7" t="str">
        <x:v>Data Training Seat</x:v>
      </x:c>
      <x:c r="D81" s="7" t="str">
        <x:v>Training</x:v>
      </x:c>
      <x:c r="E81" s="7" t="str">
        <x:v>Medan</x:v>
      </x:c>
      <x:c r="F81" s="7" t="str">
        <x:v>Website</x:v>
      </x:c>
      <x:c r="G81" s="7" t="n">
        <x:v>2</x:v>
      </x:c>
      <x:c r="H81" s="28" t="n">
        <x:v>0.1</x:v>
      </x:c>
      <x:c r="I81" s="7" t="str">
        <x:v>Closed Won</x:v>
      </x:c>
      <x:c r="J81" s="29" t="n">
        <x:v>3484800</x:v>
      </x:c>
      <x:c r="K81" s="29" t="n">
        <x:v>4000000</x:v>
      </x:c>
      <x:c r="L81" s="28" t="n">
        <x:f>IFERROR(J81/K81,0)</x:f>
        <x:v>0.8712</x:v>
      </x:c>
      <x:c r="M81" s="29" t="n">
        <x:f>J81-K81</x:f>
        <x:v>-515200</x:v>
      </x:c>
    </x:row>
    <x:row r="82">
      <x:c r="A82" s="27" t="n">
        <x:v>46187</x:v>
      </x:c>
      <x:c r="B82" s="7" t="str">
        <x:v>INV-1081</x:v>
      </x:c>
      <x:c r="C82" s="7" t="str">
        <x:v>Basic Analytics Pack</x:v>
      </x:c>
      <x:c r="D82" s="7" t="str">
        <x:v>Software</x:v>
      </x:c>
      <x:c r="E82" s="7" t="str">
        <x:v>Bali</x:v>
      </x:c>
      <x:c r="F82" s="7" t="str">
        <x:v>Website</x:v>
      </x:c>
      <x:c r="G82" s="7" t="n">
        <x:v>2</x:v>
      </x:c>
      <x:c r="H82" s="28" t="n">
        <x:v>0.1</x:v>
      </x:c>
      <x:c r="I82" s="7" t="str">
        <x:v>Cancelled</x:v>
      </x:c>
      <x:c r="J82" s="29" t="n">
        <x:v>0</x:v>
      </x:c>
      <x:c r="K82" s="29" t="n">
        <x:v>2400000</x:v>
      </x:c>
      <x:c r="L82" s="28" t="n">
        <x:f>IFERROR(J82/K82,0)</x:f>
        <x:v>0</x:v>
      </x:c>
      <x:c r="M82" s="29" t="n">
        <x:f>J82-K82</x:f>
        <x:v>-2400000</x:v>
      </x:c>
    </x:row>
    <x:row r="83">
      <x:c r="A83" s="27" t="n">
        <x:v>46187</x:v>
      </x:c>
      <x:c r="B83" s="7" t="str">
        <x:v>INV-1082</x:v>
      </x:c>
      <x:c r="C83" s="7" t="str">
        <x:v>Consulting Hour</x:v>
      </x:c>
      <x:c r="D83" s="7" t="str">
        <x:v>Service</x:v>
      </x:c>
      <x:c r="E83" s="7" t="str">
        <x:v>Bandung</x:v>
      </x:c>
      <x:c r="F83" s="7" t="str">
        <x:v>Sales Team</x:v>
      </x:c>
      <x:c r="G83" s="7" t="n">
        <x:v>2</x:v>
      </x:c>
      <x:c r="H83" s="28" t="n">
        <x:v>0</x:v>
      </x:c>
      <x:c r="I83" s="7" t="str">
        <x:v>Cancelled</x:v>
      </x:c>
      <x:c r="J83" s="29" t="n">
        <x:v>0</x:v>
      </x:c>
      <x:c r="K83" s="29" t="n">
        <x:v>1700000</x:v>
      </x:c>
      <x:c r="L83" s="28" t="n">
        <x:f>IFERROR(J83/K83,0)</x:f>
        <x:v>0</x:v>
      </x:c>
      <x:c r="M83" s="29" t="n">
        <x:f>J83-K83</x:f>
        <x:v>-1700000</x:v>
      </x:c>
    </x:row>
    <x:row r="84">
      <x:c r="A84" s="27" t="n">
        <x:v>46187</x:v>
      </x:c>
      <x:c r="B84" s="7" t="str">
        <x:v>INV-1083</x:v>
      </x:c>
      <x:c r="C84" s="7" t="str">
        <x:v>AI Report Builder</x:v>
      </x:c>
      <x:c r="D84" s="7" t="str">
        <x:v>AI Tool</x:v>
      </x:c>
      <x:c r="E84" s="7" t="str">
        <x:v>Medan</x:v>
      </x:c>
      <x:c r="F84" s="7" t="str">
        <x:v>Sales Team</x:v>
      </x:c>
      <x:c r="G84" s="7" t="n">
        <x:v>3</x:v>
      </x:c>
      <x:c r="H84" s="28" t="n">
        <x:v>0</x:v>
      </x:c>
      <x:c r="I84" s="7" t="str">
        <x:v>Cancelled</x:v>
      </x:c>
      <x:c r="J84" s="29" t="n">
        <x:v>0</x:v>
      </x:c>
      <x:c r="K84" s="29" t="n">
        <x:v>12600000</x:v>
      </x:c>
      <x:c r="L84" s="28" t="n">
        <x:f>IFERROR(J84/K84,0)</x:f>
        <x:v>0</x:v>
      </x:c>
      <x:c r="M84" s="29" t="n">
        <x:f>J84-K84</x:f>
        <x:v>-12600000</x:v>
      </x:c>
    </x:row>
    <x:row r="85">
      <x:c r="A85" s="27" t="n">
        <x:v>46187</x:v>
      </x:c>
      <x:c r="B85" s="7" t="str">
        <x:v>INV-1084</x:v>
      </x:c>
      <x:c r="C85" s="7" t="str">
        <x:v>AI Report Builder</x:v>
      </x:c>
      <x:c r="D85" s="7" t="str">
        <x:v>AI Tool</x:v>
      </x:c>
      <x:c r="E85" s="7" t="str">
        <x:v>Medan</x:v>
      </x:c>
      <x:c r="F85" s="7" t="str">
        <x:v>Sales Team</x:v>
      </x:c>
      <x:c r="G85" s="7" t="n">
        <x:v>3</x:v>
      </x:c>
      <x:c r="H85" s="28" t="n">
        <x:v>0.05</x:v>
      </x:c>
      <x:c r="I85" s="7" t="str">
        <x:v>Closed Won</x:v>
      </x:c>
      <x:c r="J85" s="29" t="n">
        <x:v>12540000</x:v>
      </x:c>
      <x:c r="K85" s="29" t="n">
        <x:v>12600000</x:v>
      </x:c>
      <x:c r="L85" s="28" t="n">
        <x:f>IFERROR(J85/K85,0)</x:f>
        <x:v>0.9952380952380953</x:v>
      </x:c>
      <x:c r="M85" s="29" t="n">
        <x:f>J85-K85</x:f>
        <x:v>-60000</x:v>
      </x:c>
    </x:row>
    <x:row r="86">
      <x:c r="A86" s="27" t="n">
        <x:v>46187</x:v>
      </x:c>
      <x:c r="B86" s="7" t="str">
        <x:v>INV-1085</x:v>
      </x:c>
      <x:c r="C86" s="7" t="str">
        <x:v>Data Training Seat</x:v>
      </x:c>
      <x:c r="D86" s="7" t="str">
        <x:v>Training</x:v>
      </x:c>
      <x:c r="E86" s="7" t="str">
        <x:v>Surabaya</x:v>
      </x:c>
      <x:c r="F86" s="7" t="str">
        <x:v>Partner</x:v>
      </x:c>
      <x:c r="G86" s="7" t="n">
        <x:v>1</x:v>
      </x:c>
      <x:c r="H86" s="28" t="n">
        <x:v>0.05</x:v>
      </x:c>
      <x:c r="I86" s="7" t="str">
        <x:v>Cancelled</x:v>
      </x:c>
      <x:c r="J86" s="29" t="n">
        <x:v>0</x:v>
      </x:c>
      <x:c r="K86" s="29" t="n">
        <x:v>2000000</x:v>
      </x:c>
      <x:c r="L86" s="28" t="n">
        <x:f>IFERROR(J86/K86,0)</x:f>
        <x:v>0</x:v>
      </x:c>
      <x:c r="M86" s="29" t="n">
        <x:f>J86-K86</x:f>
        <x:v>-2000000</x:v>
      </x:c>
    </x:row>
    <x:row r="87">
      <x:c r="A87" s="27" t="n">
        <x:v>46187</x:v>
      </x:c>
      <x:c r="B87" s="7" t="str">
        <x:v>INV-1086</x:v>
      </x:c>
      <x:c r="C87" s="7" t="str">
        <x:v>Data Training Seat</x:v>
      </x:c>
      <x:c r="D87" s="7" t="str">
        <x:v>Training</x:v>
      </x:c>
      <x:c r="E87" s="7" t="str">
        <x:v>Bandung</x:v>
      </x:c>
      <x:c r="F87" s="7" t="str">
        <x:v>Sales Team</x:v>
      </x:c>
      <x:c r="G87" s="7" t="n">
        <x:v>2</x:v>
      </x:c>
      <x:c r="H87" s="28" t="n">
        <x:v>0.1</x:v>
      </x:c>
      <x:c r="I87" s="7" t="str">
        <x:v>Closed Won</x:v>
      </x:c>
      <x:c r="J87" s="29" t="n">
        <x:v>3960000</x:v>
      </x:c>
      <x:c r="K87" s="29" t="n">
        <x:v>4000000</x:v>
      </x:c>
      <x:c r="L87" s="28" t="n">
        <x:f>IFERROR(J87/K87,0)</x:f>
        <x:v>0.99</x:v>
      </x:c>
      <x:c r="M87" s="29" t="n">
        <x:f>J87-K87</x:f>
        <x:v>-40000</x:v>
      </x:c>
    </x:row>
    <x:row r="88">
      <x:c r="A88" s="27" t="n">
        <x:v>46188</x:v>
      </x:c>
      <x:c r="B88" s="7" t="str">
        <x:v>INV-1087</x:v>
      </x:c>
      <x:c r="C88" s="7" t="str">
        <x:v>AI Report Builder</x:v>
      </x:c>
      <x:c r="D88" s="7" t="str">
        <x:v>AI Tool</x:v>
      </x:c>
      <x:c r="E88" s="7" t="str">
        <x:v>Bandung</x:v>
      </x:c>
      <x:c r="F88" s="7" t="str">
        <x:v>Referral</x:v>
      </x:c>
      <x:c r="G88" s="7" t="n">
        <x:v>4</x:v>
      </x:c>
      <x:c r="H88" s="28" t="n">
        <x:v>0.1</x:v>
      </x:c>
      <x:c r="I88" s="7" t="str">
        <x:v>Pending</x:v>
      </x:c>
      <x:c r="J88" s="29" t="n">
        <x:v>7200000</x:v>
      </x:c>
      <x:c r="K88" s="29" t="n">
        <x:v>16800000</x:v>
      </x:c>
      <x:c r="L88" s="28" t="n">
        <x:f>IFERROR(J88/K88,0)</x:f>
        <x:v>0.42857142857142855</x:v>
      </x:c>
      <x:c r="M88" s="29" t="n">
        <x:f>J88-K88</x:f>
        <x:v>-9600000</x:v>
      </x:c>
    </x:row>
    <x:row r="89">
      <x:c r="A89" s="27" t="n">
        <x:v>46188</x:v>
      </x:c>
      <x:c r="B89" s="7" t="str">
        <x:v>INV-1088</x:v>
      </x:c>
      <x:c r="C89" s="7" t="str">
        <x:v>Consulting Hour</x:v>
      </x:c>
      <x:c r="D89" s="7" t="str">
        <x:v>Service</x:v>
      </x:c>
      <x:c r="E89" s="7" t="str">
        <x:v>Surabaya</x:v>
      </x:c>
      <x:c r="F89" s="7" t="str">
        <x:v>Referral</x:v>
      </x:c>
      <x:c r="G89" s="7" t="n">
        <x:v>2</x:v>
      </x:c>
      <x:c r="H89" s="28" t="n">
        <x:v>0.05</x:v>
      </x:c>
      <x:c r="I89" s="7" t="str">
        <x:v>Cancelled</x:v>
      </x:c>
      <x:c r="J89" s="29" t="n">
        <x:v>0</x:v>
      </x:c>
      <x:c r="K89" s="29" t="n">
        <x:v>1700000</x:v>
      </x:c>
      <x:c r="L89" s="28" t="n">
        <x:f>IFERROR(J89/K89,0)</x:f>
        <x:v>0</x:v>
      </x:c>
      <x:c r="M89" s="29" t="n">
        <x:f>J89-K89</x:f>
        <x:v>-1700000</x:v>
      </x:c>
    </x:row>
    <x:row r="90">
      <x:c r="A90" s="27" t="n">
        <x:v>46188</x:v>
      </x:c>
      <x:c r="B90" s="7" t="str">
        <x:v>INV-1089</x:v>
      </x:c>
      <x:c r="C90" s="7" t="str">
        <x:v>Pro Dashboard Pack</x:v>
      </x:c>
      <x:c r="D90" s="7" t="str">
        <x:v>Software</x:v>
      </x:c>
      <x:c r="E90" s="7" t="str">
        <x:v>Medan</x:v>
      </x:c>
      <x:c r="F90" s="7" t="str">
        <x:v>Referral</x:v>
      </x:c>
      <x:c r="G90" s="7" t="n">
        <x:v>4</x:v>
      </x:c>
      <x:c r="H90" s="28" t="n">
        <x:v>0.15</x:v>
      </x:c>
      <x:c r="I90" s="7" t="str">
        <x:v>Closed Won</x:v>
      </x:c>
      <x:c r="J90" s="29" t="n">
        <x:v>10472000</x:v>
      </x:c>
      <x:c r="K90" s="29" t="n">
        <x:v>12000000</x:v>
      </x:c>
      <x:c r="L90" s="28" t="n">
        <x:f>IFERROR(J90/K90,0)</x:f>
        <x:v>0.8726666666666667</x:v>
      </x:c>
      <x:c r="M90" s="29" t="n">
        <x:f>J90-K90</x:f>
        <x:v>-1528000</x:v>
      </x:c>
    </x:row>
    <x:row r="91">
      <x:c r="A91" s="27" t="n">
        <x:v>46188</x:v>
      </x:c>
      <x:c r="B91" s="7" t="str">
        <x:v>INV-1090</x:v>
      </x:c>
      <x:c r="C91" s="7" t="str">
        <x:v>Consulting Hour</x:v>
      </x:c>
      <x:c r="D91" s="7" t="str">
        <x:v>Service</x:v>
      </x:c>
      <x:c r="E91" s="7" t="str">
        <x:v>Jakarta</x:v>
      </x:c>
      <x:c r="F91" s="7" t="str">
        <x:v>Sales Team</x:v>
      </x:c>
      <x:c r="G91" s="7" t="n">
        <x:v>2</x:v>
      </x:c>
      <x:c r="H91" s="28" t="n">
        <x:v>0.15</x:v>
      </x:c>
      <x:c r="I91" s="7" t="str">
        <x:v>Cancelled</x:v>
      </x:c>
      <x:c r="J91" s="29" t="n">
        <x:v>0</x:v>
      </x:c>
      <x:c r="K91" s="29" t="n">
        <x:v>1700000</x:v>
      </x:c>
      <x:c r="L91" s="28" t="n">
        <x:f>IFERROR(J91/K91,0)</x:f>
        <x:v>0</x:v>
      </x:c>
      <x:c r="M91" s="29" t="n">
        <x:f>J91-K91</x:f>
        <x:v>-1700000</x:v>
      </x:c>
    </x:row>
    <x:row r="92">
      <x:c r="A92" s="27" t="n">
        <x:v>46188</x:v>
      </x:c>
      <x:c r="B92" s="7" t="str">
        <x:v>INV-1091</x:v>
      </x:c>
      <x:c r="C92" s="7" t="str">
        <x:v>Premium Support</x:v>
      </x:c>
      <x:c r="D92" s="7" t="str">
        <x:v>Service</x:v>
      </x:c>
      <x:c r="E92" s="7" t="str">
        <x:v>Surabaya</x:v>
      </x:c>
      <x:c r="F92" s="7" t="str">
        <x:v>Website</x:v>
      </x:c>
      <x:c r="G92" s="7" t="n">
        <x:v>4</x:v>
      </x:c>
      <x:c r="H92" s="28" t="n">
        <x:v>0</x:v>
      </x:c>
      <x:c r="I92" s="7" t="str">
        <x:v>Cancelled</x:v>
      </x:c>
      <x:c r="J92" s="29" t="n">
        <x:v>0</x:v>
      </x:c>
      <x:c r="K92" s="29" t="n">
        <x:v>6400000</x:v>
      </x:c>
      <x:c r="L92" s="28" t="n">
        <x:f>IFERROR(J92/K92,0)</x:f>
        <x:v>0</x:v>
      </x:c>
      <x:c r="M92" s="29" t="n">
        <x:f>J92-K92</x:f>
        <x:v>-6400000</x:v>
      </x:c>
    </x:row>
    <x:row r="93">
      <x:c r="A93" s="27" t="n">
        <x:v>46188</x:v>
      </x:c>
      <x:c r="B93" s="7" t="str">
        <x:v>INV-1092</x:v>
      </x:c>
      <x:c r="C93" s="7" t="str">
        <x:v>AI Report Builder</x:v>
      </x:c>
      <x:c r="D93" s="7" t="str">
        <x:v>AI Tool</x:v>
      </x:c>
      <x:c r="E93" s="7" t="str">
        <x:v>Bandung</x:v>
      </x:c>
      <x:c r="F93" s="7" t="str">
        <x:v>Partner</x:v>
      </x:c>
      <x:c r="G93" s="7" t="n">
        <x:v>1</x:v>
      </x:c>
      <x:c r="H93" s="28" t="n">
        <x:v>0</x:v>
      </x:c>
      <x:c r="I93" s="7" t="str">
        <x:v>Closed Won</x:v>
      </x:c>
      <x:c r="J93" s="29" t="n">
        <x:v>4650000</x:v>
      </x:c>
      <x:c r="K93" s="29" t="n">
        <x:v>4200000</x:v>
      </x:c>
      <x:c r="L93" s="28" t="n">
        <x:f>IFERROR(J93/K93,0)</x:f>
        <x:v>1.1071428571428572</x:v>
      </x:c>
      <x:c r="M93" s="29" t="n">
        <x:f>J93-K93</x:f>
        <x:v>450000</x:v>
      </x:c>
    </x:row>
    <x:row r="94">
      <x:c r="A94" s="27" t="n">
        <x:v>46189</x:v>
      </x:c>
      <x:c r="B94" s="7" t="str">
        <x:v>INV-1093</x:v>
      </x:c>
      <x:c r="C94" s="7" t="str">
        <x:v>Data Training Seat</x:v>
      </x:c>
      <x:c r="D94" s="7" t="str">
        <x:v>Training</x:v>
      </x:c>
      <x:c r="E94" s="7" t="str">
        <x:v>Medan</x:v>
      </x:c>
      <x:c r="F94" s="7" t="str">
        <x:v>Website</x:v>
      </x:c>
      <x:c r="G94" s="7" t="n">
        <x:v>2</x:v>
      </x:c>
      <x:c r="H94" s="28" t="n">
        <x:v>0.05</x:v>
      </x:c>
      <x:c r="I94" s="7" t="str">
        <x:v>Cancelled</x:v>
      </x:c>
      <x:c r="J94" s="29" t="n">
        <x:v>0</x:v>
      </x:c>
      <x:c r="K94" s="29" t="n">
        <x:v>4000000</x:v>
      </x:c>
      <x:c r="L94" s="28" t="n">
        <x:f>IFERROR(J94/K94,0)</x:f>
        <x:v>0</x:v>
      </x:c>
      <x:c r="M94" s="29" t="n">
        <x:f>J94-K94</x:f>
        <x:v>-4000000</x:v>
      </x:c>
    </x:row>
    <x:row r="95">
      <x:c r="A95" s="27" t="n">
        <x:v>46189</x:v>
      </x:c>
      <x:c r="B95" s="7" t="str">
        <x:v>INV-1094</x:v>
      </x:c>
      <x:c r="C95" s="7" t="str">
        <x:v>Premium Support</x:v>
      </x:c>
      <x:c r="D95" s="7" t="str">
        <x:v>Service</x:v>
      </x:c>
      <x:c r="E95" s="7" t="str">
        <x:v>Bandung</x:v>
      </x:c>
      <x:c r="F95" s="7" t="str">
        <x:v>Referral</x:v>
      </x:c>
      <x:c r="G95" s="7" t="n">
        <x:v>2</x:v>
      </x:c>
      <x:c r="H95" s="28" t="n">
        <x:v>0.05</x:v>
      </x:c>
      <x:c r="I95" s="7" t="str">
        <x:v>Closed Won</x:v>
      </x:c>
      <x:c r="J95" s="29" t="n">
        <x:v>3420000</x:v>
      </x:c>
      <x:c r="K95" s="29" t="n">
        <x:v>3200000</x:v>
      </x:c>
      <x:c r="L95" s="28" t="n">
        <x:f>IFERROR(J95/K95,0)</x:f>
        <x:v>1.06875</x:v>
      </x:c>
      <x:c r="M95" s="29" t="n">
        <x:f>J95-K95</x:f>
        <x:v>220000</x:v>
      </x:c>
    </x:row>
    <x:row r="96">
      <x:c r="A96" s="27" t="n">
        <x:v>46189</x:v>
      </x:c>
      <x:c r="B96" s="7" t="str">
        <x:v>INV-1095</x:v>
      </x:c>
      <x:c r="C96" s="7" t="str">
        <x:v>Pro Dashboard Pack</x:v>
      </x:c>
      <x:c r="D96" s="7" t="str">
        <x:v>Software</x:v>
      </x:c>
      <x:c r="E96" s="7" t="str">
        <x:v>Jakarta</x:v>
      </x:c>
      <x:c r="F96" s="7" t="str">
        <x:v>Website</x:v>
      </x:c>
      <x:c r="G96" s="7" t="n">
        <x:v>4</x:v>
      </x:c>
      <x:c r="H96" s="28" t="n">
        <x:v>0.05</x:v>
      </x:c>
      <x:c r="I96" s="7" t="str">
        <x:v>Closed Won</x:v>
      </x:c>
      <x:c r="J96" s="29" t="n">
        <x:v>14896000</x:v>
      </x:c>
      <x:c r="K96" s="29" t="n">
        <x:v>12000000</x:v>
      </x:c>
      <x:c r="L96" s="28" t="n">
        <x:f>IFERROR(J96/K96,0)</x:f>
        <x:v>1.2413333333333334</x:v>
      </x:c>
      <x:c r="M96" s="29" t="n">
        <x:f>J96-K96</x:f>
        <x:v>2896000</x:v>
      </x:c>
    </x:row>
    <x:row r="97">
      <x:c r="A97" s="27" t="n">
        <x:v>46189</x:v>
      </x:c>
      <x:c r="B97" s="7" t="str">
        <x:v>INV-1096</x:v>
      </x:c>
      <x:c r="C97" s="7" t="str">
        <x:v>Pro Dashboard Pack</x:v>
      </x:c>
      <x:c r="D97" s="7" t="str">
        <x:v>Software</x:v>
      </x:c>
      <x:c r="E97" s="7" t="str">
        <x:v>Medan</x:v>
      </x:c>
      <x:c r="F97" s="7" t="str">
        <x:v>Referral</x:v>
      </x:c>
      <x:c r="G97" s="7" t="n">
        <x:v>1</x:v>
      </x:c>
      <x:c r="H97" s="28" t="n">
        <x:v>0.1</x:v>
      </x:c>
      <x:c r="I97" s="7" t="str">
        <x:v>Closed Won</x:v>
      </x:c>
      <x:c r="J97" s="29" t="n">
        <x:v>2772000</x:v>
      </x:c>
      <x:c r="K97" s="29" t="n">
        <x:v>3000000</x:v>
      </x:c>
      <x:c r="L97" s="28" t="n">
        <x:f>IFERROR(J97/K97,0)</x:f>
        <x:v>0.924</x:v>
      </x:c>
      <x:c r="M97" s="29" t="n">
        <x:f>J97-K97</x:f>
        <x:v>-228000</x:v>
      </x:c>
    </x:row>
    <x:row r="98">
      <x:c r="A98" s="27" t="n">
        <x:v>46189</x:v>
      </x:c>
      <x:c r="B98" s="7" t="str">
        <x:v>INV-1097</x:v>
      </x:c>
      <x:c r="C98" s="7" t="str">
        <x:v>Basic Analytics Pack</x:v>
      </x:c>
      <x:c r="D98" s="7" t="str">
        <x:v>Software</x:v>
      </x:c>
      <x:c r="E98" s="7" t="str">
        <x:v>Bali</x:v>
      </x:c>
      <x:c r="F98" s="7" t="str">
        <x:v>Partner</x:v>
      </x:c>
      <x:c r="G98" s="7" t="n">
        <x:v>4</x:v>
      </x:c>
      <x:c r="H98" s="28" t="n">
        <x:v>0.05</x:v>
      </x:c>
      <x:c r="I98" s="7" t="str">
        <x:v>Cancelled</x:v>
      </x:c>
      <x:c r="J98" s="29" t="n">
        <x:v>0</x:v>
      </x:c>
      <x:c r="K98" s="29" t="n">
        <x:v>4800000</x:v>
      </x:c>
      <x:c r="L98" s="28" t="n">
        <x:f>IFERROR(J98/K98,0)</x:f>
        <x:v>0</x:v>
      </x:c>
      <x:c r="M98" s="29" t="n">
        <x:f>J98-K98</x:f>
        <x:v>-4800000</x:v>
      </x:c>
    </x:row>
    <x:row r="99">
      <x:c r="A99" s="27" t="n">
        <x:v>46190</x:v>
      </x:c>
      <x:c r="B99" s="7" t="str">
        <x:v>INV-1098</x:v>
      </x:c>
      <x:c r="C99" s="7" t="str">
        <x:v>Premium Support</x:v>
      </x:c>
      <x:c r="D99" s="7" t="str">
        <x:v>Service</x:v>
      </x:c>
      <x:c r="E99" s="7" t="str">
        <x:v>Medan</x:v>
      </x:c>
      <x:c r="F99" s="7" t="str">
        <x:v>Sales Team</x:v>
      </x:c>
      <x:c r="G99" s="7" t="n">
        <x:v>4</x:v>
      </x:c>
      <x:c r="H99" s="28" t="n">
        <x:v>0.05</x:v>
      </x:c>
      <x:c r="I99" s="7" t="str">
        <x:v>Pending</x:v>
      </x:c>
      <x:c r="J99" s="29" t="n">
        <x:v>2407680</x:v>
      </x:c>
      <x:c r="K99" s="29" t="n">
        <x:v>6400000</x:v>
      </x:c>
      <x:c r="L99" s="28" t="n">
        <x:f>IFERROR(J99/K99,0)</x:f>
        <x:v>0.3762</x:v>
      </x:c>
      <x:c r="M99" s="29" t="n">
        <x:f>J99-K99</x:f>
        <x:v>-3992320</x:v>
      </x:c>
    </x:row>
    <x:row r="100">
      <x:c r="A100" s="27" t="n">
        <x:v>46190</x:v>
      </x:c>
      <x:c r="B100" s="7" t="str">
        <x:v>INV-1099</x:v>
      </x:c>
      <x:c r="C100" s="7" t="str">
        <x:v>Consulting Hour</x:v>
      </x:c>
      <x:c r="D100" s="7" t="str">
        <x:v>Service</x:v>
      </x:c>
      <x:c r="E100" s="7" t="str">
        <x:v>Medan</x:v>
      </x:c>
      <x:c r="F100" s="7" t="str">
        <x:v>Referral</x:v>
      </x:c>
      <x:c r="G100" s="7" t="n">
        <x:v>4</x:v>
      </x:c>
      <x:c r="H100" s="28" t="n">
        <x:v>0.1</x:v>
      </x:c>
      <x:c r="I100" s="7" t="str">
        <x:v>Closed Won</x:v>
      </x:c>
      <x:c r="J100" s="29" t="n">
        <x:v>2851200</x:v>
      </x:c>
      <x:c r="K100" s="29" t="n">
        <x:v>3400000</x:v>
      </x:c>
      <x:c r="L100" s="28" t="n">
        <x:f>IFERROR(J100/K100,0)</x:f>
        <x:v>0.8385882352941176</x:v>
      </x:c>
      <x:c r="M100" s="29" t="n">
        <x:f>J100-K100</x:f>
        <x:v>-548800</x:v>
      </x:c>
    </x:row>
    <x:row r="101">
      <x:c r="A101" s="27" t="n">
        <x:v>46190</x:v>
      </x:c>
      <x:c r="B101" s="7" t="str">
        <x:v>INV-1100</x:v>
      </x:c>
      <x:c r="C101" s="7" t="str">
        <x:v>Pro Dashboard Pack</x:v>
      </x:c>
      <x:c r="D101" s="7" t="str">
        <x:v>Software</x:v>
      </x:c>
      <x:c r="E101" s="7" t="str">
        <x:v>Bali</x:v>
      </x:c>
      <x:c r="F101" s="7" t="str">
        <x:v>Referral</x:v>
      </x:c>
      <x:c r="G101" s="7" t="n">
        <x:v>1</x:v>
      </x:c>
      <x:c r="H101" s="28" t="n">
        <x:v>0</x:v>
      </x:c>
      <x:c r="I101" s="7" t="str">
        <x:v>Cancelled</x:v>
      </x:c>
      <x:c r="J101" s="29" t="n">
        <x:v>0</x:v>
      </x:c>
      <x:c r="K101" s="29" t="n">
        <x:v>3000000</x:v>
      </x:c>
      <x:c r="L101" s="28" t="n">
        <x:f>IFERROR(J101/K101,0)</x:f>
        <x:v>0</x:v>
      </x:c>
      <x:c r="M101" s="29" t="n">
        <x:f>J101-K101</x:f>
        <x:v>-3000000</x:v>
      </x:c>
    </x:row>
    <x:row r="102">
      <x:c r="A102" s="27" t="n">
        <x:v>46190</x:v>
      </x:c>
      <x:c r="B102" s="7" t="str">
        <x:v>INV-1101</x:v>
      </x:c>
      <x:c r="C102" s="7" t="str">
        <x:v>AI Report Builder</x:v>
      </x:c>
      <x:c r="D102" s="7" t="str">
        <x:v>AI Tool</x:v>
      </x:c>
      <x:c r="E102" s="7" t="str">
        <x:v>Medan</x:v>
      </x:c>
      <x:c r="F102" s="7" t="str">
        <x:v>Referral</x:v>
      </x:c>
      <x:c r="G102" s="7" t="n">
        <x:v>3</x:v>
      </x:c>
      <x:c r="H102" s="28" t="n">
        <x:v>0</x:v>
      </x:c>
      <x:c r="I102" s="7" t="str">
        <x:v>Closed Won</x:v>
      </x:c>
      <x:c r="J102" s="29" t="n">
        <x:v>13200000</x:v>
      </x:c>
      <x:c r="K102" s="29" t="n">
        <x:v>12600000</x:v>
      </x:c>
      <x:c r="L102" s="28" t="n">
        <x:f>IFERROR(J102/K102,0)</x:f>
        <x:v>1.0476190476190477</x:v>
      </x:c>
      <x:c r="M102" s="29" t="n">
        <x:f>J102-K102</x:f>
        <x:v>600000</x:v>
      </x:c>
    </x:row>
    <x:row r="103">
      <x:c r="A103" s="27" t="n">
        <x:v>46190</x:v>
      </x:c>
      <x:c r="B103" s="7" t="str">
        <x:v>INV-1102</x:v>
      </x:c>
      <x:c r="C103" s="7" t="str">
        <x:v>Data Training Seat</x:v>
      </x:c>
      <x:c r="D103" s="7" t="str">
        <x:v>Training</x:v>
      </x:c>
      <x:c r="E103" s="7" t="str">
        <x:v>Jakarta</x:v>
      </x:c>
      <x:c r="F103" s="7" t="str">
        <x:v>Sales Team</x:v>
      </x:c>
      <x:c r="G103" s="7" t="n">
        <x:v>1</x:v>
      </x:c>
      <x:c r="H103" s="28" t="n">
        <x:v>0</x:v>
      </x:c>
      <x:c r="I103" s="7" t="str">
        <x:v>Closed Won</x:v>
      </x:c>
      <x:c r="J103" s="29" t="n">
        <x:v>2464000</x:v>
      </x:c>
      <x:c r="K103" s="29" t="n">
        <x:v>2000000</x:v>
      </x:c>
      <x:c r="L103" s="28" t="n">
        <x:f>IFERROR(J103/K103,0)</x:f>
        <x:v>1.232</x:v>
      </x:c>
      <x:c r="M103" s="29" t="n">
        <x:f>J103-K103</x:f>
        <x:v>464000</x:v>
      </x:c>
    </x:row>
    <x:row r="104">
      <x:c r="A104" s="27" t="n">
        <x:v>46190</x:v>
      </x:c>
      <x:c r="B104" s="7" t="str">
        <x:v>INV-1103</x:v>
      </x:c>
      <x:c r="C104" s="7" t="str">
        <x:v>AI Report Builder</x:v>
      </x:c>
      <x:c r="D104" s="7" t="str">
        <x:v>AI Tool</x:v>
      </x:c>
      <x:c r="E104" s="7" t="str">
        <x:v>Medan</x:v>
      </x:c>
      <x:c r="F104" s="7" t="str">
        <x:v>Website</x:v>
      </x:c>
      <x:c r="G104" s="7" t="n">
        <x:v>1</x:v>
      </x:c>
      <x:c r="H104" s="28" t="n">
        <x:v>0.45</x:v>
      </x:c>
      <x:c r="I104" s="7" t="str">
        <x:v>Closed Won</x:v>
      </x:c>
      <x:c r="J104" s="29" t="n">
        <x:v>4400000</x:v>
      </x:c>
      <x:c r="K104" s="29" t="n">
        <x:v>4200000</x:v>
      </x:c>
      <x:c r="L104" s="28" t="n">
        <x:f>IFERROR(J104/K104,0)</x:f>
        <x:v>1.0476190476190477</x:v>
      </x:c>
      <x:c r="M104" s="29" t="n">
        <x:f>J104-K104</x:f>
        <x:v>200000</x:v>
      </x:c>
    </x:row>
    <x:row r="105">
      <x:c r="A105" s="27" t="n">
        <x:v>46190</x:v>
      </x:c>
      <x:c r="B105" s="7" t="str">
        <x:v>INV-1104</x:v>
      </x:c>
      <x:c r="C105" s="7" t="str">
        <x:v>Data Training Seat</x:v>
      </x:c>
      <x:c r="D105" s="7" t="str">
        <x:v>Training</x:v>
      </x:c>
      <x:c r="E105" s="7" t="str">
        <x:v>Bandung</x:v>
      </x:c>
      <x:c r="F105" s="7" t="str">
        <x:v>Partner</x:v>
      </x:c>
      <x:c r="G105" s="7" t="n">
        <x:v>1</x:v>
      </x:c>
      <x:c r="H105" s="28" t="n">
        <x:v>0.05</x:v>
      </x:c>
      <x:c r="I105" s="7" t="str">
        <x:v>Closed Won</x:v>
      </x:c>
      <x:c r="J105" s="29" t="n">
        <x:v>1943700</x:v>
      </x:c>
      <x:c r="K105" s="29" t="n">
        <x:v>2000000</x:v>
      </x:c>
      <x:c r="L105" s="28" t="n">
        <x:f>IFERROR(J105/K105,0)</x:f>
        <x:v>0.97185</x:v>
      </x:c>
      <x:c r="M105" s="29" t="n">
        <x:f>J105-K105</x:f>
        <x:v>-56300</x:v>
      </x:c>
    </x:row>
    <x:row r="106">
      <x:c r="A106" s="27" t="n">
        <x:v>46190</x:v>
      </x:c>
      <x:c r="B106" s="7" t="str">
        <x:v>INV-1105</x:v>
      </x:c>
      <x:c r="C106" s="7" t="str">
        <x:v>AI Report Builder</x:v>
      </x:c>
      <x:c r="D106" s="7" t="str">
        <x:v>AI Tool</x:v>
      </x:c>
      <x:c r="E106" s="7" t="str">
        <x:v>Medan</x:v>
      </x:c>
      <x:c r="F106" s="7" t="str">
        <x:v>Referral</x:v>
      </x:c>
      <x:c r="G106" s="7" t="n">
        <x:v>2</x:v>
      </x:c>
      <x:c r="H106" s="28" t="n">
        <x:v>0</x:v>
      </x:c>
      <x:c r="I106" s="7" t="str">
        <x:v>Closed Won</x:v>
      </x:c>
      <x:c r="J106" s="29" t="n">
        <x:v>8800000</x:v>
      </x:c>
      <x:c r="K106" s="29" t="n">
        <x:v>8400000</x:v>
      </x:c>
      <x:c r="L106" s="28" t="n">
        <x:f>IFERROR(J106/K106,0)</x:f>
        <x:v>1.0476190476190477</x:v>
      </x:c>
      <x:c r="M106" s="29" t="n">
        <x:f>J106-K106</x:f>
        <x:v>400000</x:v>
      </x:c>
    </x:row>
    <x:row r="107">
      <x:c r="A107" s="27" t="n">
        <x:v>46191</x:v>
      </x:c>
      <x:c r="B107" s="7" t="str">
        <x:v>INV-1106</x:v>
      </x:c>
      <x:c r="C107" s="7" t="str">
        <x:v>Data Training Seat</x:v>
      </x:c>
      <x:c r="D107" s="7" t="str">
        <x:v>Training</x:v>
      </x:c>
      <x:c r="E107" s="7" t="str">
        <x:v>Medan</x:v>
      </x:c>
      <x:c r="F107" s="7" t="str">
        <x:v>Website</x:v>
      </x:c>
      <x:c r="G107" s="7" t="n">
        <x:v>4</x:v>
      </x:c>
      <x:c r="H107" s="28" t="n">
        <x:v>0.1</x:v>
      </x:c>
      <x:c r="I107" s="7" t="str">
        <x:v>Closed Won</x:v>
      </x:c>
      <x:c r="J107" s="29" t="n">
        <x:v>6969600</x:v>
      </x:c>
      <x:c r="K107" s="29" t="n">
        <x:v>8000000</x:v>
      </x:c>
      <x:c r="L107" s="28" t="n">
        <x:f>IFERROR(J107/K107,0)</x:f>
        <x:v>0.8712</x:v>
      </x:c>
      <x:c r="M107" s="29" t="n">
        <x:f>J107-K107</x:f>
        <x:v>-1030400</x:v>
      </x:c>
    </x:row>
    <x:row r="108">
      <x:c r="A108" s="27" t="n">
        <x:v>46191</x:v>
      </x:c>
      <x:c r="B108" s="7" t="str">
        <x:v>INV-1107</x:v>
      </x:c>
      <x:c r="C108" s="7" t="str">
        <x:v>Data Training Seat</x:v>
      </x:c>
      <x:c r="D108" s="7" t="str">
        <x:v>Training</x:v>
      </x:c>
      <x:c r="E108" s="7" t="str">
        <x:v>Jakarta</x:v>
      </x:c>
      <x:c r="F108" s="7" t="str">
        <x:v>Sales Team</x:v>
      </x:c>
      <x:c r="G108" s="7" t="n">
        <x:v>1</x:v>
      </x:c>
      <x:c r="H108" s="28" t="n">
        <x:v>0.05</x:v>
      </x:c>
      <x:c r="I108" s="7" t="str">
        <x:v>Closed Won</x:v>
      </x:c>
      <x:c r="J108" s="29" t="n">
        <x:v>2340800</x:v>
      </x:c>
      <x:c r="K108" s="29" t="n">
        <x:v>2000000</x:v>
      </x:c>
      <x:c r="L108" s="28" t="n">
        <x:f>IFERROR(J108/K108,0)</x:f>
        <x:v>1.1704</x:v>
      </x:c>
      <x:c r="M108" s="29" t="n">
        <x:f>J108-K108</x:f>
        <x:v>340800</x:v>
      </x:c>
    </x:row>
    <x:row r="109">
      <x:c r="A109" s="27" t="n">
        <x:v>46191</x:v>
      </x:c>
      <x:c r="B109" s="7" t="str">
        <x:v>INV-1108</x:v>
      </x:c>
      <x:c r="C109" s="7" t="str">
        <x:v>Premium Support</x:v>
      </x:c>
      <x:c r="D109" s="7" t="str">
        <x:v>Service</x:v>
      </x:c>
      <x:c r="E109" s="7" t="str">
        <x:v>Medan</x:v>
      </x:c>
      <x:c r="F109" s="7" t="str">
        <x:v>Partner</x:v>
      </x:c>
      <x:c r="G109" s="7" t="n">
        <x:v>2</x:v>
      </x:c>
      <x:c r="H109" s="28" t="n">
        <x:v>0</x:v>
      </x:c>
      <x:c r="I109" s="7" t="str">
        <x:v>Closed Won</x:v>
      </x:c>
      <x:c r="J109" s="29" t="n">
        <x:v>2946240</x:v>
      </x:c>
      <x:c r="K109" s="29" t="n">
        <x:v>3200000</x:v>
      </x:c>
      <x:c r="L109" s="28" t="n">
        <x:f>IFERROR(J109/K109,0)</x:f>
        <x:v>0.9207</x:v>
      </x:c>
      <x:c r="M109" s="29" t="n">
        <x:f>J109-K109</x:f>
        <x:v>-253760</x:v>
      </x:c>
    </x:row>
    <x:row r="110">
      <x:c r="A110" s="27" t="n">
        <x:v>46191</x:v>
      </x:c>
      <x:c r="B110" s="7" t="str">
        <x:v>INV-1109</x:v>
      </x:c>
      <x:c r="C110" s="7" t="str">
        <x:v>Data Training Seat</x:v>
      </x:c>
      <x:c r="D110" s="7" t="str">
        <x:v>Training</x:v>
      </x:c>
      <x:c r="E110" s="7" t="str">
        <x:v>Bali</x:v>
      </x:c>
      <x:c r="F110" s="7" t="str">
        <x:v>Website</x:v>
      </x:c>
      <x:c r="G110" s="7" t="n">
        <x:v>2</x:v>
      </x:c>
      <x:c r="H110" s="28" t="n">
        <x:v>0</x:v>
      </x:c>
      <x:c r="I110" s="7" t="str">
        <x:v>Cancelled</x:v>
      </x:c>
      <x:c r="J110" s="29" t="n">
        <x:v>0</x:v>
      </x:c>
      <x:c r="K110" s="29" t="n">
        <x:v>4000000</x:v>
      </x:c>
      <x:c r="L110" s="28" t="n">
        <x:f>IFERROR(J110/K110,0)</x:f>
        <x:v>0</x:v>
      </x:c>
      <x:c r="M110" s="29" t="n">
        <x:f>J110-K110</x:f>
        <x:v>-4000000</x:v>
      </x:c>
    </x:row>
    <x:row r="111">
      <x:c r="A111" s="27" t="n">
        <x:v>46191</x:v>
      </x:c>
      <x:c r="B111" s="7" t="str">
        <x:v>INV-1110</x:v>
      </x:c>
      <x:c r="C111" s="7" t="str">
        <x:v>Consulting Hour</x:v>
      </x:c>
      <x:c r="D111" s="7" t="str">
        <x:v>Service</x:v>
      </x:c>
      <x:c r="E111" s="7" t="str">
        <x:v>Bali</x:v>
      </x:c>
      <x:c r="F111" s="7" t="str">
        <x:v>Partner</x:v>
      </x:c>
      <x:c r="G111" s="7" t="n">
        <x:v>4</x:v>
      </x:c>
      <x:c r="H111" s="28" t="n">
        <x:v>0.05</x:v>
      </x:c>
      <x:c r="I111" s="7" t="str">
        <x:v>Closed Won</x:v>
      </x:c>
      <x:c r="J111" s="29" t="n">
        <x:v>3180600</x:v>
      </x:c>
      <x:c r="K111" s="29" t="n">
        <x:v>3400000</x:v>
      </x:c>
      <x:c r="L111" s="28" t="n">
        <x:f>IFERROR(J111/K111,0)</x:f>
        <x:v>0.9354705882352942</x:v>
      </x:c>
      <x:c r="M111" s="29" t="n">
        <x:f>J111-K111</x:f>
        <x:v>-219400</x:v>
      </x:c>
    </x:row>
    <x:row r="112">
      <x:c r="A112" s="27" t="n">
        <x:v>46191</x:v>
      </x:c>
      <x:c r="B112" s="7" t="str">
        <x:v>INV-1111</x:v>
      </x:c>
      <x:c r="C112" s="7" t="str">
        <x:v>Premium Support</x:v>
      </x:c>
      <x:c r="D112" s="7" t="str">
        <x:v>Service</x:v>
      </x:c>
      <x:c r="E112" s="7" t="str">
        <x:v>Medan</x:v>
      </x:c>
      <x:c r="F112" s="7" t="str">
        <x:v>Website</x:v>
      </x:c>
      <x:c r="G112" s="7" t="n">
        <x:v>2</x:v>
      </x:c>
      <x:c r="H112" s="28" t="n">
        <x:v>0.1</x:v>
      </x:c>
      <x:c r="I112" s="7" t="str">
        <x:v>Pending</x:v>
      </x:c>
      <x:c r="J112" s="29" t="n">
        <x:v>1140480</x:v>
      </x:c>
      <x:c r="K112" s="29" t="n">
        <x:v>3200000</x:v>
      </x:c>
      <x:c r="L112" s="28" t="n">
        <x:f>IFERROR(J112/K112,0)</x:f>
        <x:v>0.3564</x:v>
      </x:c>
      <x:c r="M112" s="29" t="n">
        <x:f>J112-K112</x:f>
        <x:v>-2059520</x:v>
      </x:c>
    </x:row>
    <x:row r="113">
      <x:c r="A113" s="27" t="n">
        <x:v>46191</x:v>
      </x:c>
      <x:c r="B113" s="7" t="str">
        <x:v>INV-1112</x:v>
      </x:c>
      <x:c r="C113" s="7" t="str">
        <x:v>Consulting Hour</x:v>
      </x:c>
      <x:c r="D113" s="7" t="str">
        <x:v>Service</x:v>
      </x:c>
      <x:c r="E113" s="7" t="str">
        <x:v>Jakarta</x:v>
      </x:c>
      <x:c r="F113" s="7" t="str">
        <x:v>Website</x:v>
      </x:c>
      <x:c r="G113" s="7" t="n">
        <x:v>3</x:v>
      </x:c>
      <x:c r="H113" s="28" t="n">
        <x:v>0.05</x:v>
      </x:c>
      <x:c r="I113" s="7" t="str">
        <x:v>Closed Won</x:v>
      </x:c>
      <x:c r="J113" s="29" t="n">
        <x:v>2872800</x:v>
      </x:c>
      <x:c r="K113" s="29" t="n">
        <x:v>2550000</x:v>
      </x:c>
      <x:c r="L113" s="28" t="n">
        <x:f>IFERROR(J113/K113,0)</x:f>
        <x:v>1.1265882352941177</x:v>
      </x:c>
      <x:c r="M113" s="29" t="n">
        <x:f>J113-K113</x:f>
        <x:v>322800</x:v>
      </x:c>
    </x:row>
    <x:row r="114">
      <x:c r="A114" s="27" t="n">
        <x:v>46192</x:v>
      </x:c>
      <x:c r="B114" s="7" t="str">
        <x:v>INV-1113</x:v>
      </x:c>
      <x:c r="C114" s="7" t="str">
        <x:v>Pro Dashboard Pack</x:v>
      </x:c>
      <x:c r="D114" s="7" t="str">
        <x:v>Software</x:v>
      </x:c>
      <x:c r="E114" s="7" t="str">
        <x:v>Jakarta</x:v>
      </x:c>
      <x:c r="F114" s="7" t="str">
        <x:v>Sales Team</x:v>
      </x:c>
      <x:c r="G114" s="7" t="n">
        <x:v>2</x:v>
      </x:c>
      <x:c r="H114" s="28" t="n">
        <x:v>0</x:v>
      </x:c>
      <x:c r="I114" s="7" t="str">
        <x:v>Closed Won</x:v>
      </x:c>
      <x:c r="J114" s="29" t="n">
        <x:v>7840000</x:v>
      </x:c>
      <x:c r="K114" s="29" t="n">
        <x:v>6000000</x:v>
      </x:c>
      <x:c r="L114" s="28" t="n">
        <x:f>IFERROR(J114/K114,0)</x:f>
        <x:v>1.3066666666666666</x:v>
      </x:c>
      <x:c r="M114" s="29" t="n">
        <x:f>J114-K114</x:f>
        <x:v>1840000</x:v>
      </x:c>
    </x:row>
    <x:row r="115">
      <x:c r="A115" s="27" t="n">
        <x:v>46192</x:v>
      </x:c>
      <x:c r="B115" s="7" t="str">
        <x:v>INV-1114</x:v>
      </x:c>
      <x:c r="C115" s="7" t="str">
        <x:v>Data Training Seat</x:v>
      </x:c>
      <x:c r="D115" s="7" t="str">
        <x:v>Training</x:v>
      </x:c>
      <x:c r="E115" s="7" t="str">
        <x:v>Surabaya</x:v>
      </x:c>
      <x:c r="F115" s="7" t="str">
        <x:v>Sales Team</x:v>
      </x:c>
      <x:c r="G115" s="7" t="n">
        <x:v>4</x:v>
      </x:c>
      <x:c r="H115" s="28" t="n">
        <x:v>0.05</x:v>
      </x:c>
      <x:c r="I115" s="7" t="str">
        <x:v>Closed Won</x:v>
      </x:c>
      <x:c r="J115" s="29" t="n">
        <x:v>8360000</x:v>
      </x:c>
      <x:c r="K115" s="29" t="n">
        <x:v>8000000</x:v>
      </x:c>
      <x:c r="L115" s="28" t="n">
        <x:f>IFERROR(J115/K115,0)</x:f>
        <x:v>1.045</x:v>
      </x:c>
      <x:c r="M115" s="29" t="n">
        <x:f>J115-K115</x:f>
        <x:v>360000</x:v>
      </x:c>
    </x:row>
    <x:row r="116">
      <x:c r="A116" s="27" t="n">
        <x:v>46192</x:v>
      </x:c>
      <x:c r="B116" s="7" t="str">
        <x:v>INV-1115</x:v>
      </x:c>
      <x:c r="C116" s="7" t="str">
        <x:v>Data Training Seat</x:v>
      </x:c>
      <x:c r="D116" s="7" t="str">
        <x:v>Training</x:v>
      </x:c>
      <x:c r="E116" s="7" t="str">
        <x:v>Surabaya</x:v>
      </x:c>
      <x:c r="F116" s="7" t="str">
        <x:v>Website</x:v>
      </x:c>
      <x:c r="G116" s="7" t="n">
        <x:v>2</x:v>
      </x:c>
      <x:c r="H116" s="28" t="n">
        <x:v>0</x:v>
      </x:c>
      <x:c r="I116" s="7" t="str">
        <x:v>Cancelled</x:v>
      </x:c>
      <x:c r="J116" s="29" t="n">
        <x:v>0</x:v>
      </x:c>
      <x:c r="K116" s="29" t="n">
        <x:v>4000000</x:v>
      </x:c>
      <x:c r="L116" s="28" t="n">
        <x:f>IFERROR(J116/K116,0)</x:f>
        <x:v>0</x:v>
      </x:c>
      <x:c r="M116" s="29" t="n">
        <x:f>J116-K116</x:f>
        <x:v>-4000000</x:v>
      </x:c>
    </x:row>
    <x:row r="117">
      <x:c r="A117" s="27" t="n">
        <x:v>46192</x:v>
      </x:c>
      <x:c r="B117" s="7" t="str">
        <x:v>INV-1116</x:v>
      </x:c>
      <x:c r="C117" s="7" t="str">
        <x:v>Premium Support</x:v>
      </x:c>
      <x:c r="D117" s="7" t="str">
        <x:v>Service</x:v>
      </x:c>
      <x:c r="E117" s="7" t="str">
        <x:v>Jakarta</x:v>
      </x:c>
      <x:c r="F117" s="7" t="str">
        <x:v>Sales Team</x:v>
      </x:c>
      <x:c r="G117" s="7" t="n">
        <x:v>1</x:v>
      </x:c>
      <x:c r="H117" s="28" t="n">
        <x:v>0.15</x:v>
      </x:c>
      <x:c r="I117" s="7" t="str">
        <x:v>Closed Won</x:v>
      </x:c>
      <x:c r="J117" s="29" t="n">
        <x:v>1713600</x:v>
      </x:c>
      <x:c r="K117" s="29" t="n">
        <x:v>1600000</x:v>
      </x:c>
      <x:c r="L117" s="28" t="n">
        <x:f>IFERROR(J117/K117,0)</x:f>
        <x:v>1.071</x:v>
      </x:c>
      <x:c r="M117" s="29" t="n">
        <x:f>J117-K117</x:f>
        <x:v>113600</x:v>
      </x:c>
    </x:row>
    <x:row r="118">
      <x:c r="A118" s="27" t="n">
        <x:v>46192</x:v>
      </x:c>
      <x:c r="B118" s="7" t="str">
        <x:v>INV-1117</x:v>
      </x:c>
      <x:c r="C118" s="7" t="str">
        <x:v>Consulting Hour</x:v>
      </x:c>
      <x:c r="D118" s="7" t="str">
        <x:v>Service</x:v>
      </x:c>
      <x:c r="E118" s="7" t="str">
        <x:v>Jakarta</x:v>
      </x:c>
      <x:c r="F118" s="7" t="str">
        <x:v>Website</x:v>
      </x:c>
      <x:c r="G118" s="7" t="n">
        <x:v>1</x:v>
      </x:c>
      <x:c r="H118" s="28" t="n">
        <x:v>0</x:v>
      </x:c>
      <x:c r="I118" s="7" t="str">
        <x:v>Closed Won</x:v>
      </x:c>
      <x:c r="J118" s="29" t="n">
        <x:v>1008000</x:v>
      </x:c>
      <x:c r="K118" s="29" t="n">
        <x:v>850000</x:v>
      </x:c>
      <x:c r="L118" s="28" t="n">
        <x:f>IFERROR(J118/K118,0)</x:f>
        <x:v>1.1858823529411764</x:v>
      </x:c>
      <x:c r="M118" s="29" t="n">
        <x:f>J118-K118</x:f>
        <x:v>158000</x:v>
      </x:c>
    </x:row>
    <x:row r="119">
      <x:c r="A119" s="27" t="n">
        <x:v>46192</x:v>
      </x:c>
      <x:c r="B119" s="7" t="str">
        <x:v>INV-1118</x:v>
      </x:c>
      <x:c r="C119" s="7" t="str">
        <x:v>Premium Support</x:v>
      </x:c>
      <x:c r="D119" s="7" t="str">
        <x:v>Service</x:v>
      </x:c>
      <x:c r="E119" s="7" t="str">
        <x:v>Bandung</x:v>
      </x:c>
      <x:c r="F119" s="7" t="str">
        <x:v>Partner</x:v>
      </x:c>
      <x:c r="G119" s="7" t="n">
        <x:v>1</x:v>
      </x:c>
      <x:c r="H119" s="28" t="n">
        <x:v>0.05</x:v>
      </x:c>
      <x:c r="I119" s="7" t="str">
        <x:v>Cancelled</x:v>
      </x:c>
      <x:c r="J119" s="29" t="n">
        <x:v>0</x:v>
      </x:c>
      <x:c r="K119" s="29" t="n">
        <x:v>1600000</x:v>
      </x:c>
      <x:c r="L119" s="28" t="n">
        <x:f>IFERROR(J119/K119,0)</x:f>
        <x:v>0</x:v>
      </x:c>
      <x:c r="M119" s="29" t="n">
        <x:f>J119-K119</x:f>
        <x:v>-1600000</x:v>
      </x:c>
    </x:row>
    <x:row r="120">
      <x:c r="A120" s="27" t="n">
        <x:v>46192</x:v>
      </x:c>
      <x:c r="B120" s="7" t="str">
        <x:v>INV-1119</x:v>
      </x:c>
      <x:c r="C120" s="7" t="str">
        <x:v>Basic Analytics Pack</x:v>
      </x:c>
      <x:c r="D120" s="7" t="str">
        <x:v>Software</x:v>
      </x:c>
      <x:c r="E120" s="7" t="str">
        <x:v>Medan</x:v>
      </x:c>
      <x:c r="F120" s="7" t="str">
        <x:v>Partner</x:v>
      </x:c>
      <x:c r="G120" s="7" t="n">
        <x:v>2</x:v>
      </x:c>
      <x:c r="H120" s="28" t="n">
        <x:v>0.15</x:v>
      </x:c>
      <x:c r="I120" s="7" t="str">
        <x:v>Closed Won</x:v>
      </x:c>
      <x:c r="J120" s="29" t="n">
        <x:v>2086920</x:v>
      </x:c>
      <x:c r="K120" s="29" t="n">
        <x:v>2400000</x:v>
      </x:c>
      <x:c r="L120" s="28" t="n">
        <x:f>IFERROR(J120/K120,0)</x:f>
        <x:v>0.86955</x:v>
      </x:c>
      <x:c r="M120" s="29" t="n">
        <x:f>J120-K120</x:f>
        <x:v>-313080</x:v>
      </x:c>
    </x:row>
    <x:row r="121">
      <x:c r="A121" s="27" t="n">
        <x:v>46193</x:v>
      </x:c>
      <x:c r="B121" s="7" t="str">
        <x:v>INV-1120</x:v>
      </x:c>
      <x:c r="C121" s="7" t="str">
        <x:v>Pro Dashboard Pack</x:v>
      </x:c>
      <x:c r="D121" s="7" t="str">
        <x:v>Software</x:v>
      </x:c>
      <x:c r="E121" s="7" t="str">
        <x:v>Medan</x:v>
      </x:c>
      <x:c r="F121" s="7" t="str">
        <x:v>Website</x:v>
      </x:c>
      <x:c r="G121" s="7" t="n">
        <x:v>4</x:v>
      </x:c>
      <x:c r="H121" s="28" t="n">
        <x:v>0</x:v>
      </x:c>
      <x:c r="I121" s="7" t="str">
        <x:v>Closed Won</x:v>
      </x:c>
      <x:c r="J121" s="29" t="n">
        <x:v>12320000</x:v>
      </x:c>
      <x:c r="K121" s="29" t="n">
        <x:v>12000000</x:v>
      </x:c>
      <x:c r="L121" s="28" t="n">
        <x:f>IFERROR(J121/K121,0)</x:f>
        <x:v>1.0266666666666666</x:v>
      </x:c>
      <x:c r="M121" s="29" t="n">
        <x:f>J121-K121</x:f>
        <x:v>320000</x:v>
      </x:c>
    </x:row>
    <x:row r="122">
      <x:c r="A122" s="27" t="n">
        <x:v>46193</x:v>
      </x:c>
      <x:c r="B122" s="7" t="str">
        <x:v>INV-1121</x:v>
      </x:c>
      <x:c r="C122" s="7" t="str">
        <x:v>Basic Analytics Pack</x:v>
      </x:c>
      <x:c r="D122" s="7" t="str">
        <x:v>Software</x:v>
      </x:c>
      <x:c r="E122" s="7" t="str">
        <x:v>Medan</x:v>
      </x:c>
      <x:c r="F122" s="7" t="str">
        <x:v>Website</x:v>
      </x:c>
      <x:c r="G122" s="7" t="n">
        <x:v>1</x:v>
      </x:c>
      <x:c r="H122" s="28" t="n">
        <x:v>0.1</x:v>
      </x:c>
      <x:c r="I122" s="7" t="str">
        <x:v>Cancelled</x:v>
      </x:c>
      <x:c r="J122" s="29" t="n">
        <x:v>0</x:v>
      </x:c>
      <x:c r="K122" s="29" t="n">
        <x:v>1200000</x:v>
      </x:c>
      <x:c r="L122" s="28" t="n">
        <x:f>IFERROR(J122/K122,0)</x:f>
        <x:v>0</x:v>
      </x:c>
      <x:c r="M122" s="29" t="n">
        <x:f>J122-K122</x:f>
        <x:v>-1200000</x:v>
      </x:c>
    </x:row>
    <x:row r="123">
      <x:c r="A123" s="27" t="n">
        <x:v>46193</x:v>
      </x:c>
      <x:c r="B123" s="7" t="str">
        <x:v>INV-1122</x:v>
      </x:c>
      <x:c r="C123" s="7" t="str">
        <x:v>Data Training Seat</x:v>
      </x:c>
      <x:c r="D123" s="7" t="str">
        <x:v>Training</x:v>
      </x:c>
      <x:c r="E123" s="7" t="str">
        <x:v>Bali</x:v>
      </x:c>
      <x:c r="F123" s="7" t="str">
        <x:v>Partner</x:v>
      </x:c>
      <x:c r="G123" s="7" t="n">
        <x:v>1</x:v>
      </x:c>
      <x:c r="H123" s="28" t="n">
        <x:v>0.1</x:v>
      </x:c>
      <x:c r="I123" s="7" t="str">
        <x:v>Cancelled</x:v>
      </x:c>
      <x:c r="J123" s="29" t="n">
        <x:v>0</x:v>
      </x:c>
      <x:c r="K123" s="29" t="n">
        <x:v>2000000</x:v>
      </x:c>
      <x:c r="L123" s="28" t="n">
        <x:f>IFERROR(J123/K123,0)</x:f>
        <x:v>0</x:v>
      </x:c>
      <x:c r="M123" s="29" t="n">
        <x:f>J123-K123</x:f>
        <x:v>-2000000</x:v>
      </x:c>
    </x:row>
    <x:row r="124">
      <x:c r="A124" s="27" t="n">
        <x:v>46193</x:v>
      </x:c>
      <x:c r="B124" s="7" t="str">
        <x:v>INV-1123</x:v>
      </x:c>
      <x:c r="C124" s="7" t="str">
        <x:v>Consulting Hour</x:v>
      </x:c>
      <x:c r="D124" s="7" t="str">
        <x:v>Service</x:v>
      </x:c>
      <x:c r="E124" s="7" t="str">
        <x:v>Bandung</x:v>
      </x:c>
      <x:c r="F124" s="7" t="str">
        <x:v>Website</x:v>
      </x:c>
      <x:c r="G124" s="7" t="n">
        <x:v>3</x:v>
      </x:c>
      <x:c r="H124" s="28" t="n">
        <x:v>0</x:v>
      </x:c>
      <x:c r="I124" s="7" t="str">
        <x:v>Cancelled</x:v>
      </x:c>
      <x:c r="J124" s="29" t="n">
        <x:v>0</x:v>
      </x:c>
      <x:c r="K124" s="29" t="n">
        <x:v>2550000</x:v>
      </x:c>
      <x:c r="L124" s="28" t="n">
        <x:f>IFERROR(J124/K124,0)</x:f>
        <x:v>0</x:v>
      </x:c>
      <x:c r="M124" s="29" t="n">
        <x:f>J124-K124</x:f>
        <x:v>-2550000</x:v>
      </x:c>
    </x:row>
    <x:row r="125">
      <x:c r="A125" s="27" t="n">
        <x:v>46193</x:v>
      </x:c>
      <x:c r="B125" s="7" t="str">
        <x:v>INV-1124</x:v>
      </x:c>
      <x:c r="C125" s="7" t="str">
        <x:v>Premium Support</x:v>
      </x:c>
      <x:c r="D125" s="7" t="str">
        <x:v>Service</x:v>
      </x:c>
      <x:c r="E125" s="7" t="str">
        <x:v>Jakarta</x:v>
      </x:c>
      <x:c r="F125" s="7" t="str">
        <x:v>Website</x:v>
      </x:c>
      <x:c r="G125" s="7" t="n">
        <x:v>1</x:v>
      </x:c>
      <x:c r="H125" s="28" t="n">
        <x:v>0.1</x:v>
      </x:c>
      <x:c r="I125" s="7" t="str">
        <x:v>Closed Won</x:v>
      </x:c>
      <x:c r="J125" s="29" t="n">
        <x:v>1814400</x:v>
      </x:c>
      <x:c r="K125" s="29" t="n">
        <x:v>1600000</x:v>
      </x:c>
      <x:c r="L125" s="28" t="n">
        <x:f>IFERROR(J125/K125,0)</x:f>
        <x:v>1.134</x:v>
      </x:c>
      <x:c r="M125" s="29" t="n">
        <x:f>J125-K125</x:f>
        <x:v>214400</x:v>
      </x:c>
    </x:row>
    <x:row r="126">
      <x:c r="A126" s="27" t="n">
        <x:v>46193</x:v>
      </x:c>
      <x:c r="B126" s="7" t="str">
        <x:v>INV-1125</x:v>
      </x:c>
      <x:c r="C126" s="7" t="str">
        <x:v>Consulting Hour</x:v>
      </x:c>
      <x:c r="D126" s="7" t="str">
        <x:v>Service</x:v>
      </x:c>
      <x:c r="E126" s="7" t="str">
        <x:v>Surabaya</x:v>
      </x:c>
      <x:c r="F126" s="7" t="str">
        <x:v>Website</x:v>
      </x:c>
      <x:c r="G126" s="7" t="n">
        <x:v>2</x:v>
      </x:c>
      <x:c r="H126" s="28" t="n">
        <x:v>0.15</x:v>
      </x:c>
      <x:c r="I126" s="7" t="str">
        <x:v>Closed Won</x:v>
      </x:c>
      <x:c r="J126" s="29" t="n">
        <x:v>1530000</x:v>
      </x:c>
      <x:c r="K126" s="29" t="n">
        <x:v>1700000</x:v>
      </x:c>
      <x:c r="L126" s="28" t="n">
        <x:f>IFERROR(J126/K126,0)</x:f>
        <x:v>0.9</x:v>
      </x:c>
      <x:c r="M126" s="29" t="n">
        <x:f>J126-K126</x:f>
        <x:v>-170000</x:v>
      </x:c>
    </x:row>
    <x:row r="127">
      <x:c r="A127" s="27" t="n">
        <x:v>46194</x:v>
      </x:c>
      <x:c r="B127" s="7" t="str">
        <x:v>INV-1126</x:v>
      </x:c>
      <x:c r="C127" s="7" t="str">
        <x:v>Data Training Seat</x:v>
      </x:c>
      <x:c r="D127" s="7" t="str">
        <x:v>Training</x:v>
      </x:c>
      <x:c r="E127" s="7" t="str">
        <x:v>Bali</x:v>
      </x:c>
      <x:c r="F127" s="7" t="str">
        <x:v>Website</x:v>
      </x:c>
      <x:c r="G127" s="7" t="n">
        <x:v>2</x:v>
      </x:c>
      <x:c r="H127" s="28" t="n">
        <x:v>0</x:v>
      </x:c>
      <x:c r="I127" s="7" t="str">
        <x:v>Cancelled</x:v>
      </x:c>
      <x:c r="J127" s="29" t="n">
        <x:v>0</x:v>
      </x:c>
      <x:c r="K127" s="29" t="n">
        <x:v>4000000</x:v>
      </x:c>
      <x:c r="L127" s="28" t="n">
        <x:f>IFERROR(J127/K127,0)</x:f>
        <x:v>0</x:v>
      </x:c>
      <x:c r="M127" s="29" t="n">
        <x:f>J127-K127</x:f>
        <x:v>-4000000</x:v>
      </x:c>
    </x:row>
    <x:row r="128">
      <x:c r="A128" s="27" t="n">
        <x:v>46194</x:v>
      </x:c>
      <x:c r="B128" s="7" t="str">
        <x:v>INV-1127</x:v>
      </x:c>
      <x:c r="C128" s="7" t="str">
        <x:v>Data Training Seat</x:v>
      </x:c>
      <x:c r="D128" s="7" t="str">
        <x:v>Training</x:v>
      </x:c>
      <x:c r="E128" s="7" t="str">
        <x:v>Bandung</x:v>
      </x:c>
      <x:c r="F128" s="7" t="str">
        <x:v>Referral</x:v>
      </x:c>
      <x:c r="G128" s="7" t="n">
        <x:v>1</x:v>
      </x:c>
      <x:c r="H128" s="28" t="n">
        <x:v>0.15</x:v>
      </x:c>
      <x:c r="I128" s="7" t="str">
        <x:v>Pending</x:v>
      </x:c>
      <x:c r="J128" s="29" t="n">
        <x:v>748000</x:v>
      </x:c>
      <x:c r="K128" s="29" t="n">
        <x:v>2000000</x:v>
      </x:c>
      <x:c r="L128" s="28" t="n">
        <x:f>IFERROR(J128/K128,0)</x:f>
        <x:v>0.374</x:v>
      </x:c>
      <x:c r="M128" s="29" t="n">
        <x:f>J128-K128</x:f>
        <x:v>-1252000</x:v>
      </x:c>
    </x:row>
    <x:row r="129">
      <x:c r="A129" s="27" t="n">
        <x:v>46194</x:v>
      </x:c>
      <x:c r="B129" s="7" t="str">
        <x:v>INV-1128</x:v>
      </x:c>
      <x:c r="C129" s="7" t="str">
        <x:v>Consulting Hour</x:v>
      </x:c>
      <x:c r="D129" s="7" t="str">
        <x:v>Service</x:v>
      </x:c>
      <x:c r="E129" s="7" t="str">
        <x:v>Surabaya</x:v>
      </x:c>
      <x:c r="F129" s="7" t="str">
        <x:v>Referral</x:v>
      </x:c>
      <x:c r="G129" s="7" t="n">
        <x:v>2</x:v>
      </x:c>
      <x:c r="H129" s="28" t="n">
        <x:v>0.05</x:v>
      </x:c>
      <x:c r="I129" s="7" t="str">
        <x:v>Cancelled</x:v>
      </x:c>
      <x:c r="J129" s="29" t="n">
        <x:v>0</x:v>
      </x:c>
      <x:c r="K129" s="29" t="n">
        <x:v>1700000</x:v>
      </x:c>
      <x:c r="L129" s="28" t="n">
        <x:f>IFERROR(J129/K129,0)</x:f>
        <x:v>0</x:v>
      </x:c>
      <x:c r="M129" s="29" t="n">
        <x:f>J129-K129</x:f>
        <x:v>-1700000</x:v>
      </x:c>
    </x:row>
    <x:row r="130">
      <x:c r="A130" s="27" t="n">
        <x:v>46194</x:v>
      </x:c>
      <x:c r="B130" s="7" t="str">
        <x:v>INV-1129</x:v>
      </x:c>
      <x:c r="C130" s="7" t="str">
        <x:v>Premium Support</x:v>
      </x:c>
      <x:c r="D130" s="7" t="str">
        <x:v>Service</x:v>
      </x:c>
      <x:c r="E130" s="7" t="str">
        <x:v>Surabaya</x:v>
      </x:c>
      <x:c r="F130" s="7" t="str">
        <x:v>Sales Team</x:v>
      </x:c>
      <x:c r="G130" s="7" t="n">
        <x:v>4</x:v>
      </x:c>
      <x:c r="H130" s="28" t="n">
        <x:v>0</x:v>
      </x:c>
      <x:c r="I130" s="7" t="str">
        <x:v>Closed Won</x:v>
      </x:c>
      <x:c r="J130" s="29" t="n">
        <x:v>7200000</x:v>
      </x:c>
      <x:c r="K130" s="29" t="n">
        <x:v>6400000</x:v>
      </x:c>
      <x:c r="L130" s="28" t="n">
        <x:f>IFERROR(J130/K130,0)</x:f>
        <x:v>1.125</x:v>
      </x:c>
      <x:c r="M130" s="29" t="n">
        <x:f>J130-K130</x:f>
        <x:v>800000</x:v>
      </x:c>
    </x:row>
    <x:row r="131">
      <x:c r="A131" s="27" t="n">
        <x:v>46195</x:v>
      </x:c>
      <x:c r="B131" s="7" t="str">
        <x:v>INV-1130</x:v>
      </x:c>
      <x:c r="C131" s="7" t="str">
        <x:v>Data Training Seat</x:v>
      </x:c>
      <x:c r="D131" s="7" t="str">
        <x:v>Training</x:v>
      </x:c>
      <x:c r="E131" s="7" t="str">
        <x:v>Bandung</x:v>
      </x:c>
      <x:c r="F131" s="7" t="str">
        <x:v>Referral</x:v>
      </x:c>
      <x:c r="G131" s="7" t="n">
        <x:v>2</x:v>
      </x:c>
      <x:c r="H131" s="28" t="n">
        <x:v>0.1</x:v>
      </x:c>
      <x:c r="I131" s="7" t="str">
        <x:v>Cancelled</x:v>
      </x:c>
      <x:c r="J131" s="29" t="n">
        <x:v>0</x:v>
      </x:c>
      <x:c r="K131" s="29" t="n">
        <x:v>4000000</x:v>
      </x:c>
      <x:c r="L131" s="28" t="n">
        <x:f>IFERROR(J131/K131,0)</x:f>
        <x:v>0</x:v>
      </x:c>
      <x:c r="M131" s="29" t="n">
        <x:f>J131-K131</x:f>
        <x:v>-4000000</x:v>
      </x:c>
    </x:row>
    <x:row r="132">
      <x:c r="A132" s="27" t="n">
        <x:v>46195</x:v>
      </x:c>
      <x:c r="B132" s="7" t="str">
        <x:v>INV-1131</x:v>
      </x:c>
      <x:c r="C132" s="7" t="str">
        <x:v>Data Training Seat</x:v>
      </x:c>
      <x:c r="D132" s="7" t="str">
        <x:v>Training</x:v>
      </x:c>
      <x:c r="E132" s="7" t="str">
        <x:v>Surabaya</x:v>
      </x:c>
      <x:c r="F132" s="7" t="str">
        <x:v>Website</x:v>
      </x:c>
      <x:c r="G132" s="7" t="n">
        <x:v>2</x:v>
      </x:c>
      <x:c r="H132" s="28" t="n">
        <x:v>0</x:v>
      </x:c>
      <x:c r="I132" s="7" t="str">
        <x:v>Closed Won</x:v>
      </x:c>
      <x:c r="J132" s="29" t="n">
        <x:v>4400000</x:v>
      </x:c>
      <x:c r="K132" s="29" t="n">
        <x:v>4000000</x:v>
      </x:c>
      <x:c r="L132" s="28" t="n">
        <x:f>IFERROR(J132/K132,0)</x:f>
        <x:v>1.1</x:v>
      </x:c>
      <x:c r="M132" s="29" t="n">
        <x:f>J132-K132</x:f>
        <x:v>400000</x:v>
      </x:c>
    </x:row>
    <x:row r="133">
      <x:c r="A133" s="27" t="n">
        <x:v>46195</x:v>
      </x:c>
      <x:c r="B133" s="7" t="str">
        <x:v>INV-1132</x:v>
      </x:c>
      <x:c r="C133" s="7" t="str">
        <x:v>Data Training Seat</x:v>
      </x:c>
      <x:c r="D133" s="7" t="str">
        <x:v>Training</x:v>
      </x:c>
      <x:c r="E133" s="7" t="str">
        <x:v>Bandung</x:v>
      </x:c>
      <x:c r="F133" s="7" t="str">
        <x:v>Sales Team</x:v>
      </x:c>
      <x:c r="G133" s="7" t="n">
        <x:v>4</x:v>
      </x:c>
      <x:c r="H133" s="28" t="n">
        <x:v>0</x:v>
      </x:c>
      <x:c r="I133" s="7" t="str">
        <x:v>Closed Won</x:v>
      </x:c>
      <x:c r="J133" s="29" t="n">
        <x:v>8800000</x:v>
      </x:c>
      <x:c r="K133" s="29" t="n">
        <x:v>8000000</x:v>
      </x:c>
      <x:c r="L133" s="28" t="n">
        <x:f>IFERROR(J133/K133,0)</x:f>
        <x:v>1.1</x:v>
      </x:c>
      <x:c r="M133" s="29" t="n">
        <x:f>J133-K133</x:f>
        <x:v>800000</x:v>
      </x:c>
    </x:row>
    <x:row r="134">
      <x:c r="A134" s="27" t="n">
        <x:v>46195</x:v>
      </x:c>
      <x:c r="B134" s="7" t="str">
        <x:v>INV-1133</x:v>
      </x:c>
      <x:c r="C134" s="7" t="str">
        <x:v>AI Report Builder</x:v>
      </x:c>
      <x:c r="D134" s="7" t="str">
        <x:v>AI Tool</x:v>
      </x:c>
      <x:c r="E134" s="7" t="str">
        <x:v>Medan</x:v>
      </x:c>
      <x:c r="F134" s="7" t="str">
        <x:v>Sales Team</x:v>
      </x:c>
      <x:c r="G134" s="7" t="n">
        <x:v>2</x:v>
      </x:c>
      <x:c r="H134" s="28" t="n">
        <x:v>0</x:v>
      </x:c>
      <x:c r="I134" s="7" t="str">
        <x:v>Pending</x:v>
      </x:c>
      <x:c r="J134" s="29" t="n">
        <x:v>3520000</x:v>
      </x:c>
      <x:c r="K134" s="29" t="n">
        <x:v>8400000</x:v>
      </x:c>
      <x:c r="L134" s="28" t="n">
        <x:f>IFERROR(J134/K134,0)</x:f>
        <x:v>0.41904761904761906</x:v>
      </x:c>
      <x:c r="M134" s="29" t="n">
        <x:f>J134-K134</x:f>
        <x:v>-4880000</x:v>
      </x:c>
    </x:row>
    <x:row r="135">
      <x:c r="A135" s="27" t="n">
        <x:v>46195</x:v>
      </x:c>
      <x:c r="B135" s="7" t="str">
        <x:v>INV-1134</x:v>
      </x:c>
      <x:c r="C135" s="7" t="str">
        <x:v>Pro Dashboard Pack</x:v>
      </x:c>
      <x:c r="D135" s="7" t="str">
        <x:v>Software</x:v>
      </x:c>
      <x:c r="E135" s="7" t="str">
        <x:v>Jakarta</x:v>
      </x:c>
      <x:c r="F135" s="7" t="str">
        <x:v>Partner</x:v>
      </x:c>
      <x:c r="G135" s="7" t="n">
        <x:v>3</x:v>
      </x:c>
      <x:c r="H135" s="28" t="n">
        <x:v>0.05</x:v>
      </x:c>
      <x:c r="I135" s="7" t="str">
        <x:v>Closed Won</x:v>
      </x:c>
      <x:c r="J135" s="29" t="n">
        <x:v>10389960</x:v>
      </x:c>
      <x:c r="K135" s="29" t="n">
        <x:v>9000000</x:v>
      </x:c>
      <x:c r="L135" s="28" t="n">
        <x:f>IFERROR(J135/K135,0)</x:f>
        <x:v>1.15444</x:v>
      </x:c>
      <x:c r="M135" s="29" t="n">
        <x:f>J135-K135</x:f>
        <x:v>1389960</x:v>
      </x:c>
    </x:row>
    <x:row r="136">
      <x:c r="A136" s="27" t="n">
        <x:v>46195</x:v>
      </x:c>
      <x:c r="B136" s="7" t="str">
        <x:v>INV-1135</x:v>
      </x:c>
      <x:c r="C136" s="7" t="str">
        <x:v>Premium Support</x:v>
      </x:c>
      <x:c r="D136" s="7" t="str">
        <x:v>Service</x:v>
      </x:c>
      <x:c r="E136" s="7" t="str">
        <x:v>Bandung</x:v>
      </x:c>
      <x:c r="F136" s="7" t="str">
        <x:v>Referral</x:v>
      </x:c>
      <x:c r="G136" s="7" t="n">
        <x:v>3</x:v>
      </x:c>
      <x:c r="H136" s="28" t="n">
        <x:v>0.15</x:v>
      </x:c>
      <x:c r="I136" s="7" t="str">
        <x:v>Closed Won</x:v>
      </x:c>
      <x:c r="J136" s="29" t="n">
        <x:v>4590000</x:v>
      </x:c>
      <x:c r="K136" s="29" t="n">
        <x:v>4800000</x:v>
      </x:c>
      <x:c r="L136" s="28" t="n">
        <x:f>IFERROR(J136/K136,0)</x:f>
        <x:v>0.95625</x:v>
      </x:c>
      <x:c r="M136" s="29" t="n">
        <x:f>J136-K136</x:f>
        <x:v>-210000</x:v>
      </x:c>
    </x:row>
    <x:row r="137">
      <x:c r="A137" s="27" t="n">
        <x:v>46196</x:v>
      </x:c>
      <x:c r="B137" s="7" t="str">
        <x:v>INV-1136</x:v>
      </x:c>
      <x:c r="C137" s="7" t="str">
        <x:v>Basic Analytics Pack</x:v>
      </x:c>
      <x:c r="D137" s="7" t="str">
        <x:v>Software</x:v>
      </x:c>
      <x:c r="E137" s="7" t="str">
        <x:v>Jakarta</x:v>
      </x:c>
      <x:c r="F137" s="7" t="str">
        <x:v>Sales Team</x:v>
      </x:c>
      <x:c r="G137" s="7" t="n">
        <x:v>1</x:v>
      </x:c>
      <x:c r="H137" s="28" t="n">
        <x:v>0.05</x:v>
      </x:c>
      <x:c r="I137" s="7" t="str">
        <x:v>Cancelled</x:v>
      </x:c>
      <x:c r="J137" s="29" t="n">
        <x:v>0</x:v>
      </x:c>
      <x:c r="K137" s="29" t="n">
        <x:v>1200000</x:v>
      </x:c>
      <x:c r="L137" s="28" t="n">
        <x:f>IFERROR(J137/K137,0)</x:f>
        <x:v>0</x:v>
      </x:c>
      <x:c r="M137" s="29" t="n">
        <x:f>J137-K137</x:f>
        <x:v>-1200000</x:v>
      </x:c>
    </x:row>
    <x:row r="138">
      <x:c r="A138" s="27" t="n">
        <x:v>46196</x:v>
      </x:c>
      <x:c r="B138" s="7" t="str">
        <x:v>INV-1137</x:v>
      </x:c>
      <x:c r="C138" s="7" t="str">
        <x:v>Pro Dashboard Pack</x:v>
      </x:c>
      <x:c r="D138" s="7" t="str">
        <x:v>Software</x:v>
      </x:c>
      <x:c r="E138" s="7" t="str">
        <x:v>Surabaya</x:v>
      </x:c>
      <x:c r="F138" s="7" t="str">
        <x:v>Sales Team</x:v>
      </x:c>
      <x:c r="G138" s="7" t="n">
        <x:v>2</x:v>
      </x:c>
      <x:c r="H138" s="28" t="n">
        <x:v>0.1</x:v>
      </x:c>
      <x:c r="I138" s="7" t="str">
        <x:v>Pending</x:v>
      </x:c>
      <x:c r="J138" s="29" t="n">
        <x:v>2520000</x:v>
      </x:c>
      <x:c r="K138" s="29" t="n">
        <x:v>6000000</x:v>
      </x:c>
      <x:c r="L138" s="28" t="n">
        <x:f>IFERROR(J138/K138,0)</x:f>
        <x:v>0.42</x:v>
      </x:c>
      <x:c r="M138" s="29" t="n">
        <x:f>J138-K138</x:f>
        <x:v>-3480000</x:v>
      </x:c>
    </x:row>
    <x:row r="139">
      <x:c r="A139" s="27" t="n">
        <x:v>46196</x:v>
      </x:c>
      <x:c r="B139" s="7" t="str">
        <x:v>INV-1138</x:v>
      </x:c>
      <x:c r="C139" s="7" t="str">
        <x:v>AI Report Builder</x:v>
      </x:c>
      <x:c r="D139" s="7" t="str">
        <x:v>AI Tool</x:v>
      </x:c>
      <x:c r="E139" s="7" t="str">
        <x:v>Bali</x:v>
      </x:c>
      <x:c r="F139" s="7" t="str">
        <x:v>Sales Team</x:v>
      </x:c>
      <x:c r="G139" s="7" t="n">
        <x:v>1</x:v>
      </x:c>
      <x:c r="H139" s="28" t="n">
        <x:v>0.15</x:v>
      </x:c>
      <x:c r="I139" s="7" t="str">
        <x:v>Closed Won</x:v>
      </x:c>
      <x:c r="J139" s="29" t="n">
        <x:v>4250000</x:v>
      </x:c>
      <x:c r="K139" s="29" t="n">
        <x:v>4200000</x:v>
      </x:c>
      <x:c r="L139" s="28" t="n">
        <x:f>IFERROR(J139/K139,0)</x:f>
        <x:v>1.0119047619047619</x:v>
      </x:c>
      <x:c r="M139" s="29" t="n">
        <x:f>J139-K139</x:f>
        <x:v>50000</x:v>
      </x:c>
    </x:row>
    <x:row r="140">
      <x:c r="A140" s="27" t="n">
        <x:v>46196</x:v>
      </x:c>
      <x:c r="B140" s="7" t="str">
        <x:v>INV-1139</x:v>
      </x:c>
      <x:c r="C140" s="7" t="str">
        <x:v>AI Report Builder</x:v>
      </x:c>
      <x:c r="D140" s="7" t="str">
        <x:v>AI Tool</x:v>
      </x:c>
      <x:c r="E140" s="7" t="str">
        <x:v>Surabaya</x:v>
      </x:c>
      <x:c r="F140" s="7" t="str">
        <x:v>Sales Team</x:v>
      </x:c>
      <x:c r="G140" s="7" t="n">
        <x:v>1</x:v>
      </x:c>
      <x:c r="H140" s="28" t="n">
        <x:v>0</x:v>
      </x:c>
      <x:c r="I140" s="7" t="str">
        <x:v>Cancelled</x:v>
      </x:c>
      <x:c r="J140" s="29" t="n">
        <x:v>0</x:v>
      </x:c>
      <x:c r="K140" s="29" t="n">
        <x:v>4200000</x:v>
      </x:c>
      <x:c r="L140" s="28" t="n">
        <x:f>IFERROR(J140/K140,0)</x:f>
        <x:v>0</x:v>
      </x:c>
      <x:c r="M140" s="29" t="n">
        <x:f>J140-K140</x:f>
        <x:v>-4200000</x:v>
      </x:c>
    </x:row>
    <x:row r="141">
      <x:c r="A141" s="27" t="n">
        <x:v>46196</x:v>
      </x:c>
      <x:c r="B141" s="7" t="str">
        <x:v>INV-1140</x:v>
      </x:c>
      <x:c r="C141" s="7" t="str">
        <x:v>Pro Dashboard Pack</x:v>
      </x:c>
      <x:c r="D141" s="7" t="str">
        <x:v>Software</x:v>
      </x:c>
      <x:c r="E141" s="7" t="str">
        <x:v>Surabaya</x:v>
      </x:c>
      <x:c r="F141" s="7" t="str">
        <x:v>Website</x:v>
      </x:c>
      <x:c r="G141" s="7" t="n">
        <x:v>3</x:v>
      </x:c>
      <x:c r="H141" s="28" t="n">
        <x:v>0.1</x:v>
      </x:c>
      <x:c r="I141" s="7" t="str">
        <x:v>Cancelled</x:v>
      </x:c>
      <x:c r="J141" s="29" t="n">
        <x:v>0</x:v>
      </x:c>
      <x:c r="K141" s="29" t="n">
        <x:v>9000000</x:v>
      </x:c>
      <x:c r="L141" s="28" t="n">
        <x:f>IFERROR(J141/K141,0)</x:f>
        <x:v>0</x:v>
      </x:c>
      <x:c r="M141" s="29" t="n">
        <x:f>J141-K141</x:f>
        <x:v>-9000000</x:v>
      </x:c>
    </x:row>
    <x:row r="142">
      <x:c r="A142" s="27" t="n">
        <x:v>46196</x:v>
      </x:c>
      <x:c r="B142" s="7" t="str">
        <x:v>INV-1141</x:v>
      </x:c>
      <x:c r="C142" s="7" t="str">
        <x:v>Pro Dashboard Pack</x:v>
      </x:c>
      <x:c r="D142" s="7" t="str">
        <x:v>Software</x:v>
      </x:c>
      <x:c r="E142" s="7" t="str">
        <x:v>Bandung</x:v>
      </x:c>
      <x:c r="F142" s="7" t="str">
        <x:v>Partner</x:v>
      </x:c>
      <x:c r="G142" s="7" t="n">
        <x:v>3</x:v>
      </x:c>
      <x:c r="H142" s="28" t="n">
        <x:v>0.05</x:v>
      </x:c>
      <x:c r="I142" s="7" t="str">
        <x:v>Closed Won</x:v>
      </x:c>
      <x:c r="J142" s="29" t="n">
        <x:v>9276750</x:v>
      </x:c>
      <x:c r="K142" s="29" t="n">
        <x:v>9000000</x:v>
      </x:c>
      <x:c r="L142" s="28" t="n">
        <x:f>IFERROR(J142/K142,0)</x:f>
        <x:v>1.03075</x:v>
      </x:c>
      <x:c r="M142" s="29" t="n">
        <x:f>J142-K142</x:f>
        <x:v>276750</x:v>
      </x:c>
    </x:row>
    <x:row r="143">
      <x:c r="A143" s="27" t="n">
        <x:v>46196</x:v>
      </x:c>
      <x:c r="B143" s="7" t="str">
        <x:v>INV-1142</x:v>
      </x:c>
      <x:c r="C143" s="7" t="str">
        <x:v>Consulting Hour</x:v>
      </x:c>
      <x:c r="D143" s="7" t="str">
        <x:v>Service</x:v>
      </x:c>
      <x:c r="E143" s="7" t="str">
        <x:v>Medan</x:v>
      </x:c>
      <x:c r="F143" s="7" t="str">
        <x:v>Sales Team</x:v>
      </x:c>
      <x:c r="G143" s="7" t="n">
        <x:v>1</x:v>
      </x:c>
      <x:c r="H143" s="28" t="n">
        <x:v>0</x:v>
      </x:c>
      <x:c r="I143" s="7" t="str">
        <x:v>Closed Won</x:v>
      </x:c>
      <x:c r="J143" s="29" t="n">
        <x:v>792000</x:v>
      </x:c>
      <x:c r="K143" s="29" t="n">
        <x:v>850000</x:v>
      </x:c>
      <x:c r="L143" s="28" t="n">
        <x:f>IFERROR(J143/K143,0)</x:f>
        <x:v>0.9317647058823529</x:v>
      </x:c>
      <x:c r="M143" s="29" t="n">
        <x:f>J143-K143</x:f>
        <x:v>-58000</x:v>
      </x:c>
    </x:row>
    <x:row r="144">
      <x:c r="A144" s="27" t="n">
        <x:v>46197</x:v>
      </x:c>
      <x:c r="B144" s="7" t="str">
        <x:v>INV-1143</x:v>
      </x:c>
      <x:c r="C144" s="7" t="str">
        <x:v>AI Report Builder</x:v>
      </x:c>
      <x:c r="D144" s="7" t="str">
        <x:v>AI Tool</x:v>
      </x:c>
      <x:c r="E144" s="7" t="str">
        <x:v>Bandung</x:v>
      </x:c>
      <x:c r="F144" s="7" t="str">
        <x:v>Sales Team</x:v>
      </x:c>
      <x:c r="G144" s="7" t="n">
        <x:v>1</x:v>
      </x:c>
      <x:c r="H144" s="28" t="n">
        <x:v>0.15</x:v>
      </x:c>
      <x:c r="I144" s="7" t="str">
        <x:v>Pending</x:v>
      </x:c>
      <x:c r="J144" s="29" t="n">
        <x:v>1700000</x:v>
      </x:c>
      <x:c r="K144" s="29" t="n">
        <x:v>4200000</x:v>
      </x:c>
      <x:c r="L144" s="28" t="n">
        <x:f>IFERROR(J144/K144,0)</x:f>
        <x:v>0.40476190476190477</x:v>
      </x:c>
      <x:c r="M144" s="29" t="n">
        <x:f>J144-K144</x:f>
        <x:v>-2500000</x:v>
      </x:c>
    </x:row>
    <x:row r="145">
      <x:c r="A145" s="27" t="n">
        <x:v>46197</x:v>
      </x:c>
      <x:c r="B145" s="7" t="str">
        <x:v>INV-1144</x:v>
      </x:c>
      <x:c r="C145" s="7" t="str">
        <x:v>Pro Dashboard Pack</x:v>
      </x:c>
      <x:c r="D145" s="7" t="str">
        <x:v>Software</x:v>
      </x:c>
      <x:c r="E145" s="7" t="str">
        <x:v>Surabaya</x:v>
      </x:c>
      <x:c r="F145" s="7" t="str">
        <x:v>Website</x:v>
      </x:c>
      <x:c r="G145" s="7" t="n">
        <x:v>1</x:v>
      </x:c>
      <x:c r="H145" s="28" t="n">
        <x:v>0.1</x:v>
      </x:c>
      <x:c r="I145" s="7" t="str">
        <x:v>Closed Won</x:v>
      </x:c>
      <x:c r="J145" s="29" t="n">
        <x:v>3150000</x:v>
      </x:c>
      <x:c r="K145" s="29" t="n">
        <x:v>3000000</x:v>
      </x:c>
      <x:c r="L145" s="28" t="n">
        <x:f>IFERROR(J145/K145,0)</x:f>
        <x:v>1.05</x:v>
      </x:c>
      <x:c r="M145" s="29" t="n">
        <x:f>J145-K145</x:f>
        <x:v>150000</x:v>
      </x:c>
    </x:row>
    <x:row r="146">
      <x:c r="A146" s="27" t="n">
        <x:v>46197</x:v>
      </x:c>
      <x:c r="B146" s="7" t="str">
        <x:v>INV-1145</x:v>
      </x:c>
      <x:c r="C146" s="7" t="str">
        <x:v>Consulting Hour</x:v>
      </x:c>
      <x:c r="D146" s="7" t="str">
        <x:v>Service</x:v>
      </x:c>
      <x:c r="E146" s="7" t="str">
        <x:v>Bandung</x:v>
      </x:c>
      <x:c r="F146" s="7" t="str">
        <x:v>Referral</x:v>
      </x:c>
      <x:c r="G146" s="7" t="n">
        <x:v>1</x:v>
      </x:c>
      <x:c r="H146" s="28" t="n">
        <x:v>0</x:v>
      </x:c>
      <x:c r="I146" s="7" t="str">
        <x:v>Pending</x:v>
      </x:c>
      <x:c r="J146" s="29" t="n">
        <x:v>360000</x:v>
      </x:c>
      <x:c r="K146" s="29" t="n">
        <x:v>850000</x:v>
      </x:c>
      <x:c r="L146" s="28" t="n">
        <x:f>IFERROR(J146/K146,0)</x:f>
        <x:v>0.4235294117647059</x:v>
      </x:c>
      <x:c r="M146" s="29" t="n">
        <x:f>J146-K146</x:f>
        <x:v>-490000</x:v>
      </x:c>
    </x:row>
    <x:row r="147">
      <x:c r="A147" s="27" t="n">
        <x:v>46197</x:v>
      </x:c>
      <x:c r="B147" s="7" t="str">
        <x:v>INV-1146</x:v>
      </x:c>
      <x:c r="C147" s="7" t="str">
        <x:v>AI Report Builder</x:v>
      </x:c>
      <x:c r="D147" s="7" t="str">
        <x:v>AI Tool</x:v>
      </x:c>
      <x:c r="E147" s="7" t="str">
        <x:v>Bali</x:v>
      </x:c>
      <x:c r="F147" s="7" t="str">
        <x:v>Referral</x:v>
      </x:c>
      <x:c r="G147" s="7" t="n">
        <x:v>2</x:v>
      </x:c>
      <x:c r="H147" s="28" t="n">
        <x:v>0</x:v>
      </x:c>
      <x:c r="I147" s="7" t="str">
        <x:v>Closed Won</x:v>
      </x:c>
      <x:c r="J147" s="29" t="n">
        <x:v>10000000</x:v>
      </x:c>
      <x:c r="K147" s="29" t="n">
        <x:v>8400000</x:v>
      </x:c>
      <x:c r="L147" s="28" t="n">
        <x:f>IFERROR(J147/K147,0)</x:f>
        <x:v>1.1904761904761905</x:v>
      </x:c>
      <x:c r="M147" s="29" t="n">
        <x:f>J147-K147</x:f>
        <x:v>1600000</x:v>
      </x:c>
    </x:row>
    <x:row r="148">
      <x:c r="A148" s="27" t="n">
        <x:v>46197</x:v>
      </x:c>
      <x:c r="B148" s="7" t="str">
        <x:v>INV-1147</x:v>
      </x:c>
      <x:c r="C148" s="7" t="str">
        <x:v>Basic Analytics Pack</x:v>
      </x:c>
      <x:c r="D148" s="7" t="str">
        <x:v>Software</x:v>
      </x:c>
      <x:c r="E148" s="7" t="str">
        <x:v>Surabaya</x:v>
      </x:c>
      <x:c r="F148" s="7" t="str">
        <x:v>Referral</x:v>
      </x:c>
      <x:c r="G148" s="7" t="n">
        <x:v>1</x:v>
      </x:c>
      <x:c r="H148" s="28" t="n">
        <x:v>0</x:v>
      </x:c>
      <x:c r="I148" s="7" t="str">
        <x:v>Closed Won</x:v>
      </x:c>
      <x:c r="J148" s="29" t="n">
        <x:v>1500000</x:v>
      </x:c>
      <x:c r="K148" s="29" t="n">
        <x:v>1200000</x:v>
      </x:c>
      <x:c r="L148" s="28" t="n">
        <x:f>IFERROR(J148/K148,0)</x:f>
        <x:v>1.25</x:v>
      </x:c>
      <x:c r="M148" s="29" t="n">
        <x:f>J148-K148</x:f>
        <x:v>300000</x:v>
      </x:c>
    </x:row>
    <x:row r="149">
      <x:c r="A149" s="27" t="n">
        <x:v>46198</x:v>
      </x:c>
      <x:c r="B149" s="7" t="str">
        <x:v>INV-1148</x:v>
      </x:c>
      <x:c r="C149" s="7" t="str">
        <x:v>Basic Analytics Pack</x:v>
      </x:c>
      <x:c r="D149" s="7" t="str">
        <x:v>Software</x:v>
      </x:c>
      <x:c r="E149" s="7" t="str">
        <x:v>Medan</x:v>
      </x:c>
      <x:c r="F149" s="7" t="str">
        <x:v>Website</x:v>
      </x:c>
      <x:c r="G149" s="7" t="n">
        <x:v>1</x:v>
      </x:c>
      <x:c r="H149" s="28" t="n">
        <x:v>0</x:v>
      </x:c>
      <x:c r="I149" s="7" t="str">
        <x:v>Pending</x:v>
      </x:c>
      <x:c r="J149" s="29" t="n">
        <x:v>528000</x:v>
      </x:c>
      <x:c r="K149" s="29" t="n">
        <x:v>1200000</x:v>
      </x:c>
      <x:c r="L149" s="28" t="n">
        <x:f>IFERROR(J149/K149,0)</x:f>
        <x:v>0.44</x:v>
      </x:c>
      <x:c r="M149" s="29" t="n">
        <x:f>J149-K149</x:f>
        <x:v>-672000</x:v>
      </x:c>
    </x:row>
    <x:row r="150">
      <x:c r="A150" s="27" t="n">
        <x:v>46198</x:v>
      </x:c>
      <x:c r="B150" s="7" t="str">
        <x:v>INV-1149</x:v>
      </x:c>
      <x:c r="C150" s="7" t="str">
        <x:v>AI Report Builder</x:v>
      </x:c>
      <x:c r="D150" s="7" t="str">
        <x:v>AI Tool</x:v>
      </x:c>
      <x:c r="E150" s="7" t="str">
        <x:v>Jakarta</x:v>
      </x:c>
      <x:c r="F150" s="7" t="str">
        <x:v>Partner</x:v>
      </x:c>
      <x:c r="G150" s="7" t="n">
        <x:v>1</x:v>
      </x:c>
      <x:c r="H150" s="28" t="n">
        <x:v>0.1</x:v>
      </x:c>
      <x:c r="I150" s="7" t="str">
        <x:v>Closed Won</x:v>
      </x:c>
      <x:c r="J150" s="29" t="n">
        <x:v>4687200</x:v>
      </x:c>
      <x:c r="K150" s="29" t="n">
        <x:v>4200000</x:v>
      </x:c>
      <x:c r="L150" s="28" t="n">
        <x:f>IFERROR(J150/K150,0)</x:f>
        <x:v>1.116</x:v>
      </x:c>
      <x:c r="M150" s="29" t="n">
        <x:f>J150-K150</x:f>
        <x:v>487200</x:v>
      </x:c>
    </x:row>
    <x:row r="151">
      <x:c r="A151" s="27" t="n">
        <x:v>46198</x:v>
      </x:c>
      <x:c r="B151" s="7" t="str">
        <x:v>INV-1150</x:v>
      </x:c>
      <x:c r="C151" s="7" t="str">
        <x:v>Premium Support</x:v>
      </x:c>
      <x:c r="D151" s="7" t="str">
        <x:v>Service</x:v>
      </x:c>
      <x:c r="E151" s="7" t="str">
        <x:v>Medan</x:v>
      </x:c>
      <x:c r="F151" s="7" t="str">
        <x:v>Partner</x:v>
      </x:c>
      <x:c r="G151" s="7" t="n">
        <x:v>4</x:v>
      </x:c>
      <x:c r="H151" s="28" t="n">
        <x:v>0.1</x:v>
      </x:c>
      <x:c r="I151" s="7" t="str">
        <x:v>Closed Won</x:v>
      </x:c>
      <x:c r="J151" s="29" t="n">
        <x:v>5303232</x:v>
      </x:c>
      <x:c r="K151" s="29" t="n">
        <x:v>6400000</x:v>
      </x:c>
      <x:c r="L151" s="28" t="n">
        <x:f>IFERROR(J151/K151,0)</x:f>
        <x:v>0.82863</x:v>
      </x:c>
      <x:c r="M151" s="29" t="n">
        <x:f>J151-K151</x:f>
        <x:v>-1096768</x:v>
      </x:c>
    </x:row>
    <x:row r="152">
      <x:c r="A152" s="27" t="n">
        <x:v>46198</x:v>
      </x:c>
      <x:c r="B152" s="7" t="str">
        <x:v>INV-1151</x:v>
      </x:c>
      <x:c r="C152" s="7" t="str">
        <x:v>Data Training Seat</x:v>
      </x:c>
      <x:c r="D152" s="7" t="str">
        <x:v>Training</x:v>
      </x:c>
      <x:c r="E152" s="7" t="str">
        <x:v>Bali</x:v>
      </x:c>
      <x:c r="F152" s="7" t="str">
        <x:v>Sales Team</x:v>
      </x:c>
      <x:c r="G152" s="7" t="n">
        <x:v>4</x:v>
      </x:c>
      <x:c r="H152" s="28" t="n">
        <x:v>0.1</x:v>
      </x:c>
      <x:c r="I152" s="7" t="str">
        <x:v>Closed Won</x:v>
      </x:c>
      <x:c r="J152" s="29" t="n">
        <x:v>7920000</x:v>
      </x:c>
      <x:c r="K152" s="29" t="n">
        <x:v>8000000</x:v>
      </x:c>
      <x:c r="L152" s="28" t="n">
        <x:f>IFERROR(J152/K152,0)</x:f>
        <x:v>0.99</x:v>
      </x:c>
      <x:c r="M152" s="29" t="n">
        <x:f>J152-K152</x:f>
        <x:v>-80000</x:v>
      </x:c>
    </x:row>
    <x:row r="153">
      <x:c r="A153" s="27" t="n">
        <x:v>46198</x:v>
      </x:c>
      <x:c r="B153" s="7" t="str">
        <x:v>INV-1152</x:v>
      </x:c>
      <x:c r="C153" s="7" t="str">
        <x:v>AI Report Builder</x:v>
      </x:c>
      <x:c r="D153" s="7" t="str">
        <x:v>AI Tool</x:v>
      </x:c>
      <x:c r="E153" s="7" t="str">
        <x:v>Medan</x:v>
      </x:c>
      <x:c r="F153" s="7" t="str">
        <x:v>Website</x:v>
      </x:c>
      <x:c r="G153" s="7" t="n">
        <x:v>2</x:v>
      </x:c>
      <x:c r="H153" s="28" t="n">
        <x:v>0.15</x:v>
      </x:c>
      <x:c r="I153" s="7" t="str">
        <x:v>Closed Won</x:v>
      </x:c>
      <x:c r="J153" s="29" t="n">
        <x:v>7480000</x:v>
      </x:c>
      <x:c r="K153" s="29" t="n">
        <x:v>8400000</x:v>
      </x:c>
      <x:c r="L153" s="28" t="n">
        <x:f>IFERROR(J153/K153,0)</x:f>
        <x:v>0.8904761904761904</x:v>
      </x:c>
      <x:c r="M153" s="29" t="n">
        <x:f>J153-K153</x:f>
        <x:v>-920000</x:v>
      </x:c>
    </x:row>
    <x:row r="154">
      <x:c r="A154" s="27" t="n">
        <x:v>46198</x:v>
      </x:c>
      <x:c r="B154" s="7" t="str">
        <x:v>INV-1153</x:v>
      </x:c>
      <x:c r="C154" s="7" t="str">
        <x:v>Pro Dashboard Pack</x:v>
      </x:c>
      <x:c r="D154" s="7" t="str">
        <x:v>Software</x:v>
      </x:c>
      <x:c r="E154" s="7" t="str">
        <x:v>Bandung</x:v>
      </x:c>
      <x:c r="F154" s="7" t="str">
        <x:v>Sales Team</x:v>
      </x:c>
      <x:c r="G154" s="7" t="n">
        <x:v>3</x:v>
      </x:c>
      <x:c r="H154" s="28" t="n">
        <x:v>0</x:v>
      </x:c>
      <x:c r="I154" s="7" t="str">
        <x:v>Closed Won</x:v>
      </x:c>
      <x:c r="J154" s="29" t="n">
        <x:v>10500000</x:v>
      </x:c>
      <x:c r="K154" s="29" t="n">
        <x:v>9000000</x:v>
      </x:c>
      <x:c r="L154" s="28" t="n">
        <x:f>IFERROR(J154/K154,0)</x:f>
        <x:v>1.1666666666666667</x:v>
      </x:c>
      <x:c r="M154" s="29" t="n">
        <x:f>J154-K154</x:f>
        <x:v>1500000</x:v>
      </x:c>
    </x:row>
    <x:row r="155">
      <x:c r="A155" s="27" t="n">
        <x:v>46198</x:v>
      </x:c>
      <x:c r="B155" s="7" t="str">
        <x:v>INV-1154</x:v>
      </x:c>
      <x:c r="C155" s="7" t="str">
        <x:v>Pro Dashboard Pack</x:v>
      </x:c>
      <x:c r="D155" s="7" t="str">
        <x:v>Software</x:v>
      </x:c>
      <x:c r="E155" s="7" t="str">
        <x:v>Bandung</x:v>
      </x:c>
      <x:c r="F155" s="7" t="str">
        <x:v>Website</x:v>
      </x:c>
      <x:c r="G155" s="7" t="n">
        <x:v>1</x:v>
      </x:c>
      <x:c r="H155" s="28" t="n">
        <x:v>0</x:v>
      </x:c>
      <x:c r="I155" s="7" t="str">
        <x:v>Closed Won</x:v>
      </x:c>
      <x:c r="J155" s="29" t="n">
        <x:v>3500000</x:v>
      </x:c>
      <x:c r="K155" s="29" t="n">
        <x:v>3000000</x:v>
      </x:c>
      <x:c r="L155" s="28" t="n">
        <x:f>IFERROR(J155/K155,0)</x:f>
        <x:v>1.1666666666666667</x:v>
      </x:c>
      <x:c r="M155" s="29" t="n">
        <x:f>J155-K155</x:f>
        <x:v>500000</x:v>
      </x:c>
    </x:row>
    <x:row r="156">
      <x:c r="A156" s="27" t="n">
        <x:v>46199</x:v>
      </x:c>
      <x:c r="B156" s="7" t="str">
        <x:v>INV-1155</x:v>
      </x:c>
      <x:c r="C156" s="7" t="str">
        <x:v>Consulting Hour</x:v>
      </x:c>
      <x:c r="D156" s="7" t="str">
        <x:v>Service</x:v>
      </x:c>
      <x:c r="E156" s="7" t="str">
        <x:v>Medan</x:v>
      </x:c>
      <x:c r="F156" s="7" t="str">
        <x:v>Referral</x:v>
      </x:c>
      <x:c r="G156" s="7" t="n">
        <x:v>1</x:v>
      </x:c>
      <x:c r="H156" s="28" t="n">
        <x:v>0</x:v>
      </x:c>
      <x:c r="I156" s="7" t="str">
        <x:v>Closed Won</x:v>
      </x:c>
      <x:c r="J156" s="29" t="n">
        <x:v>792000</x:v>
      </x:c>
      <x:c r="K156" s="29" t="n">
        <x:v>850000</x:v>
      </x:c>
      <x:c r="L156" s="28" t="n">
        <x:f>IFERROR(J156/K156,0)</x:f>
        <x:v>0.9317647058823529</x:v>
      </x:c>
      <x:c r="M156" s="29" t="n">
        <x:f>J156-K156</x:f>
        <x:v>-58000</x:v>
      </x:c>
    </x:row>
    <x:row r="157">
      <x:c r="A157" s="27" t="n">
        <x:v>46199</x:v>
      </x:c>
      <x:c r="B157" s="7" t="str">
        <x:v>INV-1156</x:v>
      </x:c>
      <x:c r="C157" s="7" t="str">
        <x:v>AI Report Builder</x:v>
      </x:c>
      <x:c r="D157" s="7" t="str">
        <x:v>AI Tool</x:v>
      </x:c>
      <x:c r="E157" s="7" t="str">
        <x:v>Surabaya</x:v>
      </x:c>
      <x:c r="F157" s="7" t="str">
        <x:v>Referral</x:v>
      </x:c>
      <x:c r="G157" s="7" t="n">
        <x:v>1</x:v>
      </x:c>
      <x:c r="H157" s="28" t="n">
        <x:v>0.15</x:v>
      </x:c>
      <x:c r="I157" s="7" t="str">
        <x:v>Closed Won</x:v>
      </x:c>
      <x:c r="J157" s="29" t="n">
        <x:v>4250000</x:v>
      </x:c>
      <x:c r="K157" s="29" t="n">
        <x:v>4200000</x:v>
      </x:c>
      <x:c r="L157" s="28" t="n">
        <x:f>IFERROR(J157/K157,0)</x:f>
        <x:v>1.0119047619047619</x:v>
      </x:c>
      <x:c r="M157" s="29" t="n">
        <x:f>J157-K157</x:f>
        <x:v>50000</x:v>
      </x:c>
    </x:row>
    <x:row r="158">
      <x:c r="A158" s="27" t="n">
        <x:v>46199</x:v>
      </x:c>
      <x:c r="B158" s="7" t="str">
        <x:v>INV-1157</x:v>
      </x:c>
      <x:c r="C158" s="7" t="str">
        <x:v>AI Report Builder</x:v>
      </x:c>
      <x:c r="D158" s="7" t="str">
        <x:v>AI Tool</x:v>
      </x:c>
      <x:c r="E158" s="7" t="str">
        <x:v>Medan</x:v>
      </x:c>
      <x:c r="F158" s="7" t="str">
        <x:v>Partner</x:v>
      </x:c>
      <x:c r="G158" s="7" t="n">
        <x:v>2</x:v>
      </x:c>
      <x:c r="H158" s="28" t="n">
        <x:v>0</x:v>
      </x:c>
      <x:c r="I158" s="7" t="str">
        <x:v>Pending</x:v>
      </x:c>
      <x:c r="J158" s="29" t="n">
        <x:v>3273600</x:v>
      </x:c>
      <x:c r="K158" s="29" t="n">
        <x:v>8400000</x:v>
      </x:c>
      <x:c r="L158" s="28" t="n">
        <x:f>IFERROR(J158/K158,0)</x:f>
        <x:v>0.38971428571428574</x:v>
      </x:c>
      <x:c r="M158" s="29" t="n">
        <x:f>J158-K158</x:f>
        <x:v>-5126400</x:v>
      </x:c>
    </x:row>
    <x:row r="159">
      <x:c r="A159" s="27" t="n">
        <x:v>46199</x:v>
      </x:c>
      <x:c r="B159" s="7" t="str">
        <x:v>INV-1158</x:v>
      </x:c>
      <x:c r="C159" s="7" t="str">
        <x:v>Pro Dashboard Pack</x:v>
      </x:c>
      <x:c r="D159" s="7" t="str">
        <x:v>Software</x:v>
      </x:c>
      <x:c r="E159" s="7" t="str">
        <x:v>Bandung</x:v>
      </x:c>
      <x:c r="F159" s="7" t="str">
        <x:v>Sales Team</x:v>
      </x:c>
      <x:c r="G159" s="7" t="n">
        <x:v>4</x:v>
      </x:c>
      <x:c r="H159" s="28" t="n">
        <x:v>0</x:v>
      </x:c>
      <x:c r="I159" s="7" t="str">
        <x:v>Closed Won</x:v>
      </x:c>
      <x:c r="J159" s="29" t="n">
        <x:v>14000000</x:v>
      </x:c>
      <x:c r="K159" s="29" t="n">
        <x:v>12000000</x:v>
      </x:c>
      <x:c r="L159" s="28" t="n">
        <x:f>IFERROR(J159/K159,0)</x:f>
        <x:v>1.1666666666666667</x:v>
      </x:c>
      <x:c r="M159" s="29" t="n">
        <x:f>J159-K159</x:f>
        <x:v>2000000</x:v>
      </x:c>
    </x:row>
    <x:row r="160">
      <x:c r="A160" s="27" t="n">
        <x:v>46199</x:v>
      </x:c>
      <x:c r="B160" s="7" t="str">
        <x:v>INV-1159</x:v>
      </x:c>
      <x:c r="C160" s="7" t="str">
        <x:v>Basic Analytics Pack</x:v>
      </x:c>
      <x:c r="D160" s="7" t="str">
        <x:v>Software</x:v>
      </x:c>
      <x:c r="E160" s="7" t="str">
        <x:v>Bandung</x:v>
      </x:c>
      <x:c r="F160" s="7" t="str">
        <x:v>Sales Team</x:v>
      </x:c>
      <x:c r="G160" s="7" t="n">
        <x:v>2</x:v>
      </x:c>
      <x:c r="H160" s="28" t="n">
        <x:v>0.15</x:v>
      </x:c>
      <x:c r="I160" s="7" t="str">
        <x:v>Pending</x:v>
      </x:c>
      <x:c r="J160" s="29" t="n">
        <x:v>1020000</x:v>
      </x:c>
      <x:c r="K160" s="29" t="n">
        <x:v>2400000</x:v>
      </x:c>
      <x:c r="L160" s="28" t="n">
        <x:f>IFERROR(J160/K160,0)</x:f>
        <x:v>0.425</x:v>
      </x:c>
      <x:c r="M160" s="29" t="n">
        <x:f>J160-K160</x:f>
        <x:v>-1380000</x:v>
      </x:c>
    </x:row>
    <x:row r="161">
      <x:c r="A161" s="27" t="n">
        <x:v>46199</x:v>
      </x:c>
      <x:c r="B161" s="7" t="str">
        <x:v>INV-1160</x:v>
      </x:c>
      <x:c r="C161" s="7" t="str">
        <x:v>AI Report Builder</x:v>
      </x:c>
      <x:c r="D161" s="7" t="str">
        <x:v>AI Tool</x:v>
      </x:c>
      <x:c r="E161" s="7" t="str">
        <x:v>Bali</x:v>
      </x:c>
      <x:c r="F161" s="7" t="str">
        <x:v>Website</x:v>
      </x:c>
      <x:c r="G161" s="7" t="n">
        <x:v>2</x:v>
      </x:c>
      <x:c r="H161" s="28" t="n">
        <x:v>0.15</x:v>
      </x:c>
      <x:c r="I161" s="7" t="str">
        <x:v>Closed Won</x:v>
      </x:c>
      <x:c r="J161" s="29" t="n">
        <x:v>8500000</x:v>
      </x:c>
      <x:c r="K161" s="29" t="n">
        <x:v>8400000</x:v>
      </x:c>
      <x:c r="L161" s="28" t="n">
        <x:f>IFERROR(J161/K161,0)</x:f>
        <x:v>1.0119047619047619</x:v>
      </x:c>
      <x:c r="M161" s="29" t="n">
        <x:f>J161-K161</x:f>
        <x:v>100000</x:v>
      </x:c>
    </x:row>
    <x:row r="162">
      <x:c r="A162" s="27" t="n">
        <x:v>46199</x:v>
      </x:c>
      <x:c r="B162" s="7" t="str">
        <x:v>INV-1161</x:v>
      </x:c>
      <x:c r="C162" s="7" t="str">
        <x:v>Consulting Hour</x:v>
      </x:c>
      <x:c r="D162" s="7" t="str">
        <x:v>Service</x:v>
      </x:c>
      <x:c r="E162" s="7" t="str">
        <x:v>Bali</x:v>
      </x:c>
      <x:c r="F162" s="7" t="str">
        <x:v>Sales Team</x:v>
      </x:c>
      <x:c r="G162" s="7" t="n">
        <x:v>2</x:v>
      </x:c>
      <x:c r="H162" s="28" t="n">
        <x:v>0.1</x:v>
      </x:c>
      <x:c r="I162" s="7" t="str">
        <x:v>Closed Won</x:v>
      </x:c>
      <x:c r="J162" s="29" t="n">
        <x:v>1620000</x:v>
      </x:c>
      <x:c r="K162" s="29" t="n">
        <x:v>1700000</x:v>
      </x:c>
      <x:c r="L162" s="28" t="n">
        <x:f>IFERROR(J162/K162,0)</x:f>
        <x:v>0.9529411764705882</x:v>
      </x:c>
      <x:c r="M162" s="29" t="n">
        <x:f>J162-K162</x:f>
        <x:v>-80000</x:v>
      </x:c>
    </x:row>
    <x:row r="163">
      <x:c r="A163" s="27" t="n">
        <x:v>46200</x:v>
      </x:c>
      <x:c r="B163" s="7" t="str">
        <x:v>INV-1162</x:v>
      </x:c>
      <x:c r="C163" s="7" t="str">
        <x:v>Basic Analytics Pack</x:v>
      </x:c>
      <x:c r="D163" s="7" t="str">
        <x:v>Software</x:v>
      </x:c>
      <x:c r="E163" s="7" t="str">
        <x:v>Medan</x:v>
      </x:c>
      <x:c r="F163" s="7" t="str">
        <x:v>Website</x:v>
      </x:c>
      <x:c r="G163" s="7" t="n">
        <x:v>2</x:v>
      </x:c>
      <x:c r="H163" s="28" t="n">
        <x:v>0.15</x:v>
      </x:c>
      <x:c r="I163" s="7" t="str">
        <x:v>Closed Won</x:v>
      </x:c>
      <x:c r="J163" s="29" t="n">
        <x:v>2244000</x:v>
      </x:c>
      <x:c r="K163" s="29" t="n">
        <x:v>2400000</x:v>
      </x:c>
      <x:c r="L163" s="28" t="n">
        <x:f>IFERROR(J163/K163,0)</x:f>
        <x:v>0.935</x:v>
      </x:c>
      <x:c r="M163" s="29" t="n">
        <x:f>J163-K163</x:f>
        <x:v>-156000</x:v>
      </x:c>
    </x:row>
    <x:row r="164">
      <x:c r="A164" s="27" t="n">
        <x:v>46200</x:v>
      </x:c>
      <x:c r="B164" s="7" t="str">
        <x:v>INV-1163</x:v>
      </x:c>
      <x:c r="C164" s="7" t="str">
        <x:v>Premium Support</x:v>
      </x:c>
      <x:c r="D164" s="7" t="str">
        <x:v>Service</x:v>
      </x:c>
      <x:c r="E164" s="7" t="str">
        <x:v>Surabaya</x:v>
      </x:c>
      <x:c r="F164" s="7" t="str">
        <x:v>Website</x:v>
      </x:c>
      <x:c r="G164" s="7" t="n">
        <x:v>1</x:v>
      </x:c>
      <x:c r="H164" s="28" t="n">
        <x:v>0</x:v>
      </x:c>
      <x:c r="I164" s="7" t="str">
        <x:v>Cancelled</x:v>
      </x:c>
      <x:c r="J164" s="29" t="n">
        <x:v>0</x:v>
      </x:c>
      <x:c r="K164" s="29" t="n">
        <x:v>1600000</x:v>
      </x:c>
      <x:c r="L164" s="28" t="n">
        <x:f>IFERROR(J164/K164,0)</x:f>
        <x:v>0</x:v>
      </x:c>
      <x:c r="M164" s="29" t="n">
        <x:f>J164-K164</x:f>
        <x:v>-1600000</x:v>
      </x:c>
    </x:row>
    <x:row r="165">
      <x:c r="A165" s="27" t="n">
        <x:v>46200</x:v>
      </x:c>
      <x:c r="B165" s="7" t="str">
        <x:v>INV-1164</x:v>
      </x:c>
      <x:c r="C165" s="7" t="str">
        <x:v>Premium Support</x:v>
      </x:c>
      <x:c r="D165" s="7" t="str">
        <x:v>Service</x:v>
      </x:c>
      <x:c r="E165" s="7" t="str">
        <x:v>Medan</x:v>
      </x:c>
      <x:c r="F165" s="7" t="str">
        <x:v>Website</x:v>
      </x:c>
      <x:c r="G165" s="7" t="n">
        <x:v>4</x:v>
      </x:c>
      <x:c r="H165" s="28" t="n">
        <x:v>0.15</x:v>
      </x:c>
      <x:c r="I165" s="7" t="str">
        <x:v>Closed Won</x:v>
      </x:c>
      <x:c r="J165" s="29" t="n">
        <x:v>5385600</x:v>
      </x:c>
      <x:c r="K165" s="29" t="n">
        <x:v>6400000</x:v>
      </x:c>
      <x:c r="L165" s="28" t="n">
        <x:f>IFERROR(J165/K165,0)</x:f>
        <x:v>0.8415</x:v>
      </x:c>
      <x:c r="M165" s="29" t="n">
        <x:f>J165-K165</x:f>
        <x:v>-1014400</x:v>
      </x:c>
    </x:row>
    <x:row r="166">
      <x:c r="A166" s="27" t="n">
        <x:v>46200</x:v>
      </x:c>
      <x:c r="B166" s="7" t="str">
        <x:v>INV-1165</x:v>
      </x:c>
      <x:c r="C166" s="7" t="str">
        <x:v>Premium Support</x:v>
      </x:c>
      <x:c r="D166" s="7" t="str">
        <x:v>Service</x:v>
      </x:c>
      <x:c r="E166" s="7" t="str">
        <x:v>Jakarta</x:v>
      </x:c>
      <x:c r="F166" s="7" t="str">
        <x:v>Partner</x:v>
      </x:c>
      <x:c r="G166" s="7" t="n">
        <x:v>2</x:v>
      </x:c>
      <x:c r="H166" s="28" t="n">
        <x:v>0.1</x:v>
      </x:c>
      <x:c r="I166" s="7" t="str">
        <x:v>Cancelled</x:v>
      </x:c>
      <x:c r="J166" s="29" t="n">
        <x:v>0</x:v>
      </x:c>
      <x:c r="K166" s="29" t="n">
        <x:v>3200000</x:v>
      </x:c>
      <x:c r="L166" s="28" t="n">
        <x:f>IFERROR(J166/K166,0)</x:f>
        <x:v>0</x:v>
      </x:c>
      <x:c r="M166" s="29" t="n">
        <x:f>J166-K166</x:f>
        <x:v>-3200000</x:v>
      </x:c>
    </x:row>
    <x:row r="167">
      <x:c r="A167" s="27" t="n">
        <x:v>46200</x:v>
      </x:c>
      <x:c r="B167" s="7" t="str">
        <x:v>INV-1166</x:v>
      </x:c>
      <x:c r="C167" s="7" t="str">
        <x:v>Data Training Seat</x:v>
      </x:c>
      <x:c r="D167" s="7" t="str">
        <x:v>Training</x:v>
      </x:c>
      <x:c r="E167" s="7" t="str">
        <x:v>Surabaya</x:v>
      </x:c>
      <x:c r="F167" s="7" t="str">
        <x:v>Partner</x:v>
      </x:c>
      <x:c r="G167" s="7" t="n">
        <x:v>2</x:v>
      </x:c>
      <x:c r="H167" s="28" t="n">
        <x:v>0.05</x:v>
      </x:c>
      <x:c r="I167" s="7" t="str">
        <x:v>Cancelled</x:v>
      </x:c>
      <x:c r="J167" s="29" t="n">
        <x:v>0</x:v>
      </x:c>
      <x:c r="K167" s="29" t="n">
        <x:v>4000000</x:v>
      </x:c>
      <x:c r="L167" s="28" t="n">
        <x:f>IFERROR(J167/K167,0)</x:f>
        <x:v>0</x:v>
      </x:c>
      <x:c r="M167" s="29" t="n">
        <x:f>J167-K167</x:f>
        <x:v>-4000000</x:v>
      </x:c>
    </x:row>
    <x:row r="168">
      <x:c r="A168" s="27" t="n">
        <x:v>46200</x:v>
      </x:c>
      <x:c r="B168" s="7" t="str">
        <x:v>INV-1167</x:v>
      </x:c>
      <x:c r="C168" s="7" t="str">
        <x:v>Data Training Seat</x:v>
      </x:c>
      <x:c r="D168" s="7" t="str">
        <x:v>Training</x:v>
      </x:c>
      <x:c r="E168" s="7" t="str">
        <x:v>Jakarta</x:v>
      </x:c>
      <x:c r="F168" s="7" t="str">
        <x:v>Referral</x:v>
      </x:c>
      <x:c r="G168" s="7" t="n">
        <x:v>1</x:v>
      </x:c>
      <x:c r="H168" s="28" t="n">
        <x:v>0.05</x:v>
      </x:c>
      <x:c r="I168" s="7" t="str">
        <x:v>Closed Won</x:v>
      </x:c>
      <x:c r="J168" s="29" t="n">
        <x:v>2340800</x:v>
      </x:c>
      <x:c r="K168" s="29" t="n">
        <x:v>2000000</x:v>
      </x:c>
      <x:c r="L168" s="28" t="n">
        <x:f>IFERROR(J168/K168,0)</x:f>
        <x:v>1.1704</x:v>
      </x:c>
      <x:c r="M168" s="29" t="n">
        <x:f>J168-K168</x:f>
        <x:v>340800</x:v>
      </x:c>
    </x:row>
    <x:row r="169">
      <x:c r="A169" s="27" t="n">
        <x:v>46200</x:v>
      </x:c>
      <x:c r="B169" s="7" t="str">
        <x:v>INV-1168</x:v>
      </x:c>
      <x:c r="C169" s="7" t="str">
        <x:v>AI Report Builder</x:v>
      </x:c>
      <x:c r="D169" s="7" t="str">
        <x:v>AI Tool</x:v>
      </x:c>
      <x:c r="E169" s="7" t="str">
        <x:v>Jakarta</x:v>
      </x:c>
      <x:c r="F169" s="7" t="str">
        <x:v>Partner</x:v>
      </x:c>
      <x:c r="G169" s="7" t="n">
        <x:v>1</x:v>
      </x:c>
      <x:c r="H169" s="28" t="n">
        <x:v>0.05</x:v>
      </x:c>
      <x:c r="I169" s="7" t="str">
        <x:v>Cancelled</x:v>
      </x:c>
      <x:c r="J169" s="29" t="n">
        <x:v>0</x:v>
      </x:c>
      <x:c r="K169" s="29" t="n">
        <x:v>4200000</x:v>
      </x:c>
      <x:c r="L169" s="28" t="n">
        <x:f>IFERROR(J169/K169,0)</x:f>
        <x:v>0</x:v>
      </x:c>
      <x:c r="M169" s="29" t="n">
        <x:f>J169-K169</x:f>
        <x:v>-4200000</x:v>
      </x:c>
    </x:row>
    <x:row r="170">
      <x:c r="A170" s="27" t="n">
        <x:v>46201</x:v>
      </x:c>
      <x:c r="B170" s="7" t="str">
        <x:v>INV-1169</x:v>
      </x:c>
      <x:c r="C170" s="7" t="str">
        <x:v>AI Report Builder</x:v>
      </x:c>
      <x:c r="D170" s="7" t="str">
        <x:v>AI Tool</x:v>
      </x:c>
      <x:c r="E170" s="7" t="str">
        <x:v>Bali</x:v>
      </x:c>
      <x:c r="F170" s="7" t="str">
        <x:v>Website</x:v>
      </x:c>
      <x:c r="G170" s="7" t="n">
        <x:v>2</x:v>
      </x:c>
      <x:c r="H170" s="28" t="n">
        <x:v>0</x:v>
      </x:c>
      <x:c r="I170" s="7" t="str">
        <x:v>Closed Won</x:v>
      </x:c>
      <x:c r="J170" s="29" t="n">
        <x:v>10000000</x:v>
      </x:c>
      <x:c r="K170" s="29" t="n">
        <x:v>8400000</x:v>
      </x:c>
      <x:c r="L170" s="28" t="n">
        <x:f>IFERROR(J170/K170,0)</x:f>
        <x:v>1.1904761904761905</x:v>
      </x:c>
      <x:c r="M170" s="29" t="n">
        <x:f>J170-K170</x:f>
        <x:v>1600000</x:v>
      </x:c>
    </x:row>
    <x:row r="171">
      <x:c r="A171" s="27" t="n">
        <x:v>46201</x:v>
      </x:c>
      <x:c r="B171" s="7" t="str">
        <x:v>INV-1170</x:v>
      </x:c>
      <x:c r="C171" s="7" t="str">
        <x:v>AI Report Builder</x:v>
      </x:c>
      <x:c r="D171" s="7" t="str">
        <x:v>AI Tool</x:v>
      </x:c>
      <x:c r="E171" s="7" t="str">
        <x:v>Surabaya</x:v>
      </x:c>
      <x:c r="F171" s="7" t="str">
        <x:v>Website</x:v>
      </x:c>
      <x:c r="G171" s="7" t="n">
        <x:v>4</x:v>
      </x:c>
      <x:c r="H171" s="28" t="n">
        <x:v>0.05</x:v>
      </x:c>
      <x:c r="I171" s="7" t="str">
        <x:v>Pending</x:v>
      </x:c>
      <x:c r="J171" s="29" t="n">
        <x:v>7600000</x:v>
      </x:c>
      <x:c r="K171" s="29" t="n">
        <x:v>16800000</x:v>
      </x:c>
      <x:c r="L171" s="28" t="n">
        <x:f>IFERROR(J171/K171,0)</x:f>
        <x:v>0.4523809523809524</x:v>
      </x:c>
      <x:c r="M171" s="29" t="n">
        <x:f>J171-K171</x:f>
        <x:v>-9200000</x:v>
      </x:c>
    </x:row>
    <x:row r="172">
      <x:c r="A172" s="27" t="n">
        <x:v>46201</x:v>
      </x:c>
      <x:c r="B172" s="7" t="str">
        <x:v>INV-1171</x:v>
      </x:c>
      <x:c r="C172" s="7" t="str">
        <x:v>Basic Analytics Pack</x:v>
      </x:c>
      <x:c r="D172" s="7" t="str">
        <x:v>Software</x:v>
      </x:c>
      <x:c r="E172" s="7" t="str">
        <x:v>Medan</x:v>
      </x:c>
      <x:c r="F172" s="7" t="str">
        <x:v>Referral</x:v>
      </x:c>
      <x:c r="G172" s="7" t="n">
        <x:v>2</x:v>
      </x:c>
      <x:c r="H172" s="28" t="n">
        <x:v>0</x:v>
      </x:c>
      <x:c r="I172" s="7" t="str">
        <x:v>Closed Won</x:v>
      </x:c>
      <x:c r="J172" s="29" t="n">
        <x:v>2640000</x:v>
      </x:c>
      <x:c r="K172" s="29" t="n">
        <x:v>2400000</x:v>
      </x:c>
      <x:c r="L172" s="28" t="n">
        <x:f>IFERROR(J172/K172,0)</x:f>
        <x:v>1.1</x:v>
      </x:c>
      <x:c r="M172" s="29" t="n">
        <x:f>J172-K172</x:f>
        <x:v>240000</x:v>
      </x:c>
    </x:row>
    <x:row r="173">
      <x:c r="A173" s="27" t="n">
        <x:v>46201</x:v>
      </x:c>
      <x:c r="B173" s="7" t="str">
        <x:v>INV-1172</x:v>
      </x:c>
      <x:c r="C173" s="7" t="str">
        <x:v>Premium Support</x:v>
      </x:c>
      <x:c r="D173" s="7" t="str">
        <x:v>Service</x:v>
      </x:c>
      <x:c r="E173" s="7" t="str">
        <x:v>Surabaya</x:v>
      </x:c>
      <x:c r="F173" s="7" t="str">
        <x:v>Referral</x:v>
      </x:c>
      <x:c r="G173" s="7" t="n">
        <x:v>3</x:v>
      </x:c>
      <x:c r="H173" s="28" t="n">
        <x:v>0.05</x:v>
      </x:c>
      <x:c r="I173" s="7" t="str">
        <x:v>Closed Won</x:v>
      </x:c>
      <x:c r="J173" s="29" t="n">
        <x:v>5130000</x:v>
      </x:c>
      <x:c r="K173" s="29" t="n">
        <x:v>4800000</x:v>
      </x:c>
      <x:c r="L173" s="28" t="n">
        <x:f>IFERROR(J173/K173,0)</x:f>
        <x:v>1.06875</x:v>
      </x:c>
      <x:c r="M173" s="29" t="n">
        <x:f>J173-K173</x:f>
        <x:v>330000</x:v>
      </x:c>
    </x:row>
    <x:row r="174">
      <x:c r="A174" s="27" t="n">
        <x:v>46201</x:v>
      </x:c>
      <x:c r="B174" s="7" t="str">
        <x:v>INV-1173</x:v>
      </x:c>
      <x:c r="C174" s="7" t="str">
        <x:v>Pro Dashboard Pack</x:v>
      </x:c>
      <x:c r="D174" s="7" t="str">
        <x:v>Software</x:v>
      </x:c>
      <x:c r="E174" s="7" t="str">
        <x:v>Surabaya</x:v>
      </x:c>
      <x:c r="F174" s="7" t="str">
        <x:v>Partner</x:v>
      </x:c>
      <x:c r="G174" s="7" t="n">
        <x:v>1</x:v>
      </x:c>
      <x:c r="H174" s="28" t="n">
        <x:v>0.05</x:v>
      </x:c>
      <x:c r="I174" s="7" t="str">
        <x:v>Cancelled</x:v>
      </x:c>
      <x:c r="J174" s="29" t="n">
        <x:v>0</x:v>
      </x:c>
      <x:c r="K174" s="29" t="n">
        <x:v>3000000</x:v>
      </x:c>
      <x:c r="L174" s="28" t="n">
        <x:f>IFERROR(J174/K174,0)</x:f>
        <x:v>0</x:v>
      </x:c>
      <x:c r="M174" s="29" t="n">
        <x:f>J174-K174</x:f>
        <x:v>-3000000</x:v>
      </x:c>
    </x:row>
    <x:row r="175">
      <x:c r="A175" s="27" t="n">
        <x:v>46201</x:v>
      </x:c>
      <x:c r="B175" s="7" t="str">
        <x:v>INV-1174</x:v>
      </x:c>
      <x:c r="C175" s="7" t="str">
        <x:v>Data Training Seat</x:v>
      </x:c>
      <x:c r="D175" s="7" t="str">
        <x:v>Training</x:v>
      </x:c>
      <x:c r="E175" s="7" t="str">
        <x:v>Jakarta</x:v>
      </x:c>
      <x:c r="F175" s="7" t="str">
        <x:v>Website</x:v>
      </x:c>
      <x:c r="G175" s="7" t="n">
        <x:v>3</x:v>
      </x:c>
      <x:c r="H175" s="28" t="n">
        <x:v>0.1</x:v>
      </x:c>
      <x:c r="I175" s="7" t="str">
        <x:v>Closed Won</x:v>
      </x:c>
      <x:c r="J175" s="29" t="n">
        <x:v>6652800</x:v>
      </x:c>
      <x:c r="K175" s="29" t="n">
        <x:v>6000000</x:v>
      </x:c>
      <x:c r="L175" s="28" t="n">
        <x:f>IFERROR(J175/K175,0)</x:f>
        <x:v>1.1088</x:v>
      </x:c>
      <x:c r="M175" s="29" t="n">
        <x:f>J175-K175</x:f>
        <x:v>652800</x:v>
      </x:c>
    </x:row>
    <x:row r="176">
      <x:c r="A176" s="27" t="n">
        <x:v>46201</x:v>
      </x:c>
      <x:c r="B176" s="7" t="str">
        <x:v>INV-1175</x:v>
      </x:c>
      <x:c r="C176" s="7" t="str">
        <x:v>Consulting Hour</x:v>
      </x:c>
      <x:c r="D176" s="7" t="str">
        <x:v>Service</x:v>
      </x:c>
      <x:c r="E176" s="7" t="str">
        <x:v>Bandung</x:v>
      </x:c>
      <x:c r="F176" s="7" t="str">
        <x:v>Sales Team</x:v>
      </x:c>
      <x:c r="G176" s="7" t="n">
        <x:v>2</x:v>
      </x:c>
      <x:c r="H176" s="28" t="n">
        <x:v>0</x:v>
      </x:c>
      <x:c r="I176" s="7" t="str">
        <x:v>Pending</x:v>
      </x:c>
      <x:c r="J176" s="29" t="n">
        <x:v>720000</x:v>
      </x:c>
      <x:c r="K176" s="29" t="n">
        <x:v>1700000</x:v>
      </x:c>
      <x:c r="L176" s="28" t="n">
        <x:f>IFERROR(J176/K176,0)</x:f>
        <x:v>0.4235294117647059</x:v>
      </x:c>
      <x:c r="M176" s="29" t="n">
        <x:f>J176-K176</x:f>
        <x:v>-980000</x:v>
      </x:c>
    </x:row>
    <x:row r="177">
      <x:c r="A177" s="27" t="n">
        <x:v>46202</x:v>
      </x:c>
      <x:c r="B177" s="7" t="str">
        <x:v>INV-1176</x:v>
      </x:c>
      <x:c r="C177" s="7" t="str">
        <x:v>Basic Analytics Pack</x:v>
      </x:c>
      <x:c r="D177" s="7" t="str">
        <x:v>Software</x:v>
      </x:c>
      <x:c r="E177" s="7" t="str">
        <x:v>Bandung</x:v>
      </x:c>
      <x:c r="F177" s="7" t="str">
        <x:v>Website</x:v>
      </x:c>
      <x:c r="G177" s="7" t="n">
        <x:v>2</x:v>
      </x:c>
      <x:c r="H177" s="28" t="n">
        <x:v>0</x:v>
      </x:c>
      <x:c r="I177" s="7" t="str">
        <x:v>Cancelled</x:v>
      </x:c>
      <x:c r="J177" s="29" t="n">
        <x:v>0</x:v>
      </x:c>
      <x:c r="K177" s="29" t="n">
        <x:v>2400000</x:v>
      </x:c>
      <x:c r="L177" s="28" t="n">
        <x:f>IFERROR(J177/K177,0)</x:f>
        <x:v>0</x:v>
      </x:c>
      <x:c r="M177" s="29" t="n">
        <x:f>J177-K177</x:f>
        <x:v>-2400000</x:v>
      </x:c>
    </x:row>
    <x:row r="178">
      <x:c r="A178" s="27" t="n">
        <x:v>46202</x:v>
      </x:c>
      <x:c r="B178" s="7" t="str">
        <x:v>INV-1177</x:v>
      </x:c>
      <x:c r="C178" s="7" t="str">
        <x:v>Pro Dashboard Pack</x:v>
      </x:c>
      <x:c r="D178" s="7" t="str">
        <x:v>Software</x:v>
      </x:c>
      <x:c r="E178" s="7" t="str">
        <x:v>Bali</x:v>
      </x:c>
      <x:c r="F178" s="7" t="str">
        <x:v>Sales Team</x:v>
      </x:c>
      <x:c r="G178" s="7" t="n">
        <x:v>2</x:v>
      </x:c>
      <x:c r="H178" s="28" t="n">
        <x:v>0.15</x:v>
      </x:c>
      <x:c r="I178" s="7" t="str">
        <x:v>Closed Won</x:v>
      </x:c>
      <x:c r="J178" s="29" t="n">
        <x:v>5950000</x:v>
      </x:c>
      <x:c r="K178" s="29" t="n">
        <x:v>6000000</x:v>
      </x:c>
      <x:c r="L178" s="28" t="n">
        <x:f>IFERROR(J178/K178,0)</x:f>
        <x:v>0.9916666666666667</x:v>
      </x:c>
      <x:c r="M178" s="29" t="n">
        <x:f>J178-K178</x:f>
        <x:v>-50000</x:v>
      </x:c>
    </x:row>
    <x:row r="179">
      <x:c r="A179" s="27" t="n">
        <x:v>46202</x:v>
      </x:c>
      <x:c r="B179" s="7" t="str">
        <x:v>INV-1178</x:v>
      </x:c>
      <x:c r="C179" s="7" t="str">
        <x:v>Data Training Seat</x:v>
      </x:c>
      <x:c r="D179" s="7" t="str">
        <x:v>Training</x:v>
      </x:c>
      <x:c r="E179" s="7" t="str">
        <x:v>Bali</x:v>
      </x:c>
      <x:c r="F179" s="7" t="str">
        <x:v>Referral</x:v>
      </x:c>
      <x:c r="G179" s="7" t="n">
        <x:v>1</x:v>
      </x:c>
      <x:c r="H179" s="28" t="n">
        <x:v>0.05</x:v>
      </x:c>
      <x:c r="I179" s="7" t="str">
        <x:v>Pending</x:v>
      </x:c>
      <x:c r="J179" s="29" t="n">
        <x:v>836000</x:v>
      </x:c>
      <x:c r="K179" s="29" t="n">
        <x:v>2000000</x:v>
      </x:c>
      <x:c r="L179" s="28" t="n">
        <x:f>IFERROR(J179/K179,0)</x:f>
        <x:v>0.418</x:v>
      </x:c>
      <x:c r="M179" s="29" t="n">
        <x:f>J179-K179</x:f>
        <x:v>-1164000</x:v>
      </x:c>
    </x:row>
    <x:row r="180">
      <x:c r="A180" s="27" t="n">
        <x:v>46202</x:v>
      </x:c>
      <x:c r="B180" s="7" t="str">
        <x:v>INV-1179</x:v>
      </x:c>
      <x:c r="C180" s="7" t="str">
        <x:v>Pro Dashboard Pack</x:v>
      </x:c>
      <x:c r="D180" s="7" t="str">
        <x:v>Software</x:v>
      </x:c>
      <x:c r="E180" s="7" t="str">
        <x:v>Bali</x:v>
      </x:c>
      <x:c r="F180" s="7" t="str">
        <x:v>Partner</x:v>
      </x:c>
      <x:c r="G180" s="7" t="n">
        <x:v>2</x:v>
      </x:c>
      <x:c r="H180" s="28" t="n">
        <x:v>0.1</x:v>
      </x:c>
      <x:c r="I180" s="7" t="str">
        <x:v>Cancelled</x:v>
      </x:c>
      <x:c r="J180" s="29" t="n">
        <x:v>0</x:v>
      </x:c>
      <x:c r="K180" s="29" t="n">
        <x:v>6000000</x:v>
      </x:c>
      <x:c r="L180" s="28" t="n">
        <x:f>IFERROR(J180/K180,0)</x:f>
        <x:v>0</x:v>
      </x:c>
      <x:c r="M180" s="29" t="n">
        <x:f>J180-K180</x:f>
        <x:v>-6000000</x:v>
      </x:c>
    </x:row>
    <x:row r="181">
      <x:c r="A181" s="27" t="n">
        <x:v>46202</x:v>
      </x:c>
      <x:c r="B181" s="7" t="str">
        <x:v>INV-1180</x:v>
      </x:c>
      <x:c r="C181" s="7" t="str">
        <x:v>Pro Dashboard Pack</x:v>
      </x:c>
      <x:c r="D181" s="7" t="str">
        <x:v>Software</x:v>
      </x:c>
      <x:c r="E181" s="7" t="str">
        <x:v>Jakarta</x:v>
      </x:c>
      <x:c r="F181" s="7" t="str">
        <x:v>Sales Team</x:v>
      </x:c>
      <x:c r="G181" s="7" t="n">
        <x:v>4</x:v>
      </x:c>
      <x:c r="H181" s="28" t="n">
        <x:v>0.05</x:v>
      </x:c>
      <x:c r="I181" s="7" t="str">
        <x:v>Closed Won</x:v>
      </x:c>
      <x:c r="J181" s="29" t="n">
        <x:v>14896000</x:v>
      </x:c>
      <x:c r="K181" s="29" t="n">
        <x:v>12000000</x:v>
      </x:c>
      <x:c r="L181" s="28" t="n">
        <x:f>IFERROR(J181/K181,0)</x:f>
        <x:v>1.2413333333333334</x:v>
      </x:c>
      <x:c r="M181" s="29" t="n">
        <x:f>J181-K181</x:f>
        <x:v>2896000</x:v>
      </x:c>
    </x:row>
    <x:row r="182">
      <x:c r="A182" s="27" t="n">
        <x:v>46202</x:v>
      </x:c>
      <x:c r="B182" s="7" t="str">
        <x:v>INV-1181</x:v>
      </x:c>
      <x:c r="C182" s="7" t="str">
        <x:v>Premium Support</x:v>
      </x:c>
      <x:c r="D182" s="7" t="str">
        <x:v>Service</x:v>
      </x:c>
      <x:c r="E182" s="7" t="str">
        <x:v>Surabaya</x:v>
      </x:c>
      <x:c r="F182" s="7" t="str">
        <x:v>Website</x:v>
      </x:c>
      <x:c r="G182" s="7" t="n">
        <x:v>1</x:v>
      </x:c>
      <x:c r="H182" s="28" t="n">
        <x:v>0.15</x:v>
      </x:c>
      <x:c r="I182" s="7" t="str">
        <x:v>Closed Won</x:v>
      </x:c>
      <x:c r="J182" s="29" t="n">
        <x:v>1530000</x:v>
      </x:c>
      <x:c r="K182" s="29" t="n">
        <x:v>1600000</x:v>
      </x:c>
      <x:c r="L182" s="28" t="n">
        <x:f>IFERROR(J182/K182,0)</x:f>
        <x:v>0.95625</x:v>
      </x:c>
      <x:c r="M182" s="29" t="n">
        <x:f>J182-K182</x:f>
        <x:v>-70000</x:v>
      </x:c>
    </x:row>
    <x:row r="183">
      <x:c r="A183" s="27" t="n">
        <x:v>46202</x:v>
      </x:c>
      <x:c r="B183" s="7" t="str">
        <x:v>INV-1182</x:v>
      </x:c>
      <x:c r="C183" s="7" t="str">
        <x:v>Premium Support</x:v>
      </x:c>
      <x:c r="D183" s="7" t="str">
        <x:v>Service</x:v>
      </x:c>
      <x:c r="E183" s="7" t="str">
        <x:v>Medan</x:v>
      </x:c>
      <x:c r="F183" s="7" t="str">
        <x:v>Referral</x:v>
      </x:c>
      <x:c r="G183" s="7" t="n">
        <x:v>4</x:v>
      </x:c>
      <x:c r="H183" s="28" t="n">
        <x:v>0</x:v>
      </x:c>
      <x:c r="I183" s="7" t="str">
        <x:v>Closed Won</x:v>
      </x:c>
      <x:c r="J183" s="29" t="n">
        <x:v>6336000</x:v>
      </x:c>
      <x:c r="K183" s="29" t="n">
        <x:v>6400000</x:v>
      </x:c>
      <x:c r="L183" s="28" t="n">
        <x:f>IFERROR(J183/K183,0)</x:f>
        <x:v>0.99</x:v>
      </x:c>
      <x:c r="M183" s="29" t="n">
        <x:f>J183-K183</x:f>
        <x:v>-64000</x:v>
      </x:c>
    </x:row>
    <x:row r="184">
      <x:c r="A184" s="27" t="n">
        <x:v>46203</x:v>
      </x:c>
      <x:c r="B184" s="7" t="str">
        <x:v>INV-1183</x:v>
      </x:c>
      <x:c r="C184" s="7" t="str">
        <x:v>Data Training Seat</x:v>
      </x:c>
      <x:c r="D184" s="7" t="str">
        <x:v>Training</x:v>
      </x:c>
      <x:c r="E184" s="7" t="str">
        <x:v>Surabaya</x:v>
      </x:c>
      <x:c r="F184" s="7" t="str">
        <x:v>Sales Team</x:v>
      </x:c>
      <x:c r="G184" s="7" t="n">
        <x:v>2</x:v>
      </x:c>
      <x:c r="H184" s="28" t="n">
        <x:v>0.1</x:v>
      </x:c>
      <x:c r="I184" s="7" t="str">
        <x:v>Closed Won</x:v>
      </x:c>
      <x:c r="J184" s="29" t="n">
        <x:v>3960000</x:v>
      </x:c>
      <x:c r="K184" s="29" t="n">
        <x:v>4000000</x:v>
      </x:c>
      <x:c r="L184" s="28" t="n">
        <x:f>IFERROR(J184/K184,0)</x:f>
        <x:v>0.99</x:v>
      </x:c>
      <x:c r="M184" s="29" t="n">
        <x:f>J184-K184</x:f>
        <x:v>-40000</x:v>
      </x:c>
    </x:row>
    <x:row r="185">
      <x:c r="A185" s="27" t="n">
        <x:v>46203</x:v>
      </x:c>
      <x:c r="B185" s="7" t="str">
        <x:v>INV-1184</x:v>
      </x:c>
      <x:c r="C185" s="7" t="str">
        <x:v>Data Training Seat</x:v>
      </x:c>
      <x:c r="D185" s="7" t="str">
        <x:v>Training</x:v>
      </x:c>
      <x:c r="E185" s="7" t="str">
        <x:v>Surabaya</x:v>
      </x:c>
      <x:c r="F185" s="7" t="str">
        <x:v>Partner</x:v>
      </x:c>
      <x:c r="G185" s="7" t="n">
        <x:v>3</x:v>
      </x:c>
      <x:c r="H185" s="28" t="n">
        <x:v>0</x:v>
      </x:c>
      <x:c r="I185" s="7" t="str">
        <x:v>Pending</x:v>
      </x:c>
      <x:c r="J185" s="29" t="n">
        <x:v>2455200</x:v>
      </x:c>
      <x:c r="K185" s="29" t="n">
        <x:v>6000000</x:v>
      </x:c>
      <x:c r="L185" s="28" t="n">
        <x:f>IFERROR(J185/K185,0)</x:f>
        <x:v>0.4092</x:v>
      </x:c>
      <x:c r="M185" s="29" t="n">
        <x:f>J185-K185</x:f>
        <x:v>-3544800</x:v>
      </x:c>
    </x:row>
    <x:row r="186">
      <x:c r="A186" s="27" t="n">
        <x:v>46203</x:v>
      </x:c>
      <x:c r="B186" s="7" t="str">
        <x:v>INV-1185</x:v>
      </x:c>
      <x:c r="C186" s="7" t="str">
        <x:v>Data Training Seat</x:v>
      </x:c>
      <x:c r="D186" s="7" t="str">
        <x:v>Training</x:v>
      </x:c>
      <x:c r="E186" s="7" t="str">
        <x:v>Bandung</x:v>
      </x:c>
      <x:c r="F186" s="7" t="str">
        <x:v>Referral</x:v>
      </x:c>
      <x:c r="G186" s="7" t="n">
        <x:v>1</x:v>
      </x:c>
      <x:c r="H186" s="28" t="n">
        <x:v>0</x:v>
      </x:c>
      <x:c r="I186" s="7" t="str">
        <x:v>Cancelled</x:v>
      </x:c>
      <x:c r="J186" s="29" t="n">
        <x:v>0</x:v>
      </x:c>
      <x:c r="K186" s="29" t="n">
        <x:v>2000000</x:v>
      </x:c>
      <x:c r="L186" s="28" t="n">
        <x:f>IFERROR(J186/K186,0)</x:f>
        <x:v>0</x:v>
      </x:c>
      <x:c r="M186" s="29" t="n">
        <x:f>J186-K186</x:f>
        <x:v>-2000000</x:v>
      </x:c>
    </x:row>
    <x:row r="187">
      <x:c r="A187" s="27" t="n">
        <x:v>46203</x:v>
      </x:c>
      <x:c r="B187" s="7" t="str">
        <x:v>INV-1186</x:v>
      </x:c>
      <x:c r="C187" s="7" t="str">
        <x:v>Data Training Seat</x:v>
      </x:c>
      <x:c r="D187" s="7" t="str">
        <x:v>Training</x:v>
      </x:c>
      <x:c r="E187" s="7" t="str">
        <x:v>Bali</x:v>
      </x:c>
      <x:c r="F187" s="7" t="str">
        <x:v>Referral</x:v>
      </x:c>
      <x:c r="G187" s="7" t="n">
        <x:v>3</x:v>
      </x:c>
      <x:c r="H187" s="28" t="n">
        <x:v>0.15</x:v>
      </x:c>
      <x:c r="I187" s="7" t="str">
        <x:v>Closed Won</x:v>
      </x:c>
      <x:c r="J187" s="29" t="n">
        <x:v>5610000</x:v>
      </x:c>
      <x:c r="K187" s="29" t="n">
        <x:v>6000000</x:v>
      </x:c>
      <x:c r="L187" s="28" t="n">
        <x:f>IFERROR(J187/K187,0)</x:f>
        <x:v>0.935</x:v>
      </x:c>
      <x:c r="M187" s="29" t="n">
        <x:f>J187-K187</x:f>
        <x:v>-390000</x:v>
      </x:c>
    </x:row>
    <x:row r="188">
      <x:c r="A188" s="27" t="n">
        <x:v>46203</x:v>
      </x:c>
      <x:c r="B188" s="7" t="str">
        <x:v>INV-1187</x:v>
      </x:c>
      <x:c r="C188" s="7" t="str">
        <x:v>Data Training Seat</x:v>
      </x:c>
      <x:c r="D188" s="7" t="str">
        <x:v>Training</x:v>
      </x:c>
      <x:c r="E188" s="7" t="str">
        <x:v>Jakarta</x:v>
      </x:c>
      <x:c r="F188" s="7" t="str">
        <x:v>Partner</x:v>
      </x:c>
      <x:c r="G188" s="7" t="n">
        <x:v>2</x:v>
      </x:c>
      <x:c r="H188" s="28" t="n">
        <x:v>0.1</x:v>
      </x:c>
      <x:c r="I188" s="7" t="str">
        <x:v>Closed Won</x:v>
      </x:c>
      <x:c r="J188" s="29" t="n">
        <x:v>4124736</x:v>
      </x:c>
      <x:c r="K188" s="29" t="n">
        <x:v>4000000</x:v>
      </x:c>
      <x:c r="L188" s="28" t="n">
        <x:f>IFERROR(J188/K188,0)</x:f>
        <x:v>1.031184</x:v>
      </x:c>
      <x:c r="M188" s="29" t="n">
        <x:f>J188-K188</x:f>
        <x:v>124736</x:v>
      </x:c>
    </x:row>
    <x:row r="189">
      <x:c r="A189" s="27" t="n">
        <x:v>46203</x:v>
      </x:c>
      <x:c r="B189" s="7" t="str">
        <x:v>INV-1188</x:v>
      </x:c>
      <x:c r="C189" s="7" t="str">
        <x:v>Basic Analytics Pack</x:v>
      </x:c>
      <x:c r="D189" s="7" t="str">
        <x:v>Software</x:v>
      </x:c>
      <x:c r="E189" s="7" t="str">
        <x:v>Bali</x:v>
      </x:c>
      <x:c r="F189" s="7" t="str">
        <x:v>Website</x:v>
      </x:c>
      <x:c r="G189" s="7" t="n">
        <x:v>2</x:v>
      </x:c>
      <x:c r="H189" s="28" t="n">
        <x:v>0.05</x:v>
      </x:c>
      <x:c r="I189" s="7" t="str">
        <x:v>Closed Won</x:v>
      </x:c>
      <x:c r="J189" s="29" t="n">
        <x:v>2850000</x:v>
      </x:c>
      <x:c r="K189" s="29" t="n">
        <x:v>2400000</x:v>
      </x:c>
      <x:c r="L189" s="28" t="n">
        <x:f>IFERROR(J189/K189,0)</x:f>
        <x:v>1.1875</x:v>
      </x:c>
      <x:c r="M189" s="29" t="n">
        <x:f>J189-K189</x:f>
        <x:v>450000</x:v>
      </x:c>
    </x:row>
    <x:row r="190">
      <x:c r="A190" s="27" t="n">
        <x:v>46203</x:v>
      </x:c>
      <x:c r="B190" s="7" t="str">
        <x:v>INV-1189</x:v>
      </x:c>
      <x:c r="C190" s="7" t="str">
        <x:v>Consulting Hour</x:v>
      </x:c>
      <x:c r="D190" s="7" t="str">
        <x:v>Service</x:v>
      </x:c>
      <x:c r="E190" s="7" t="str">
        <x:v>Bandung</x:v>
      </x:c>
      <x:c r="F190" s="7" t="str">
        <x:v>Referral</x:v>
      </x:c>
      <x:c r="G190" s="7" t="n">
        <x:v>4</x:v>
      </x:c>
      <x:c r="H190" s="28" t="n">
        <x:v>0.15</x:v>
      </x:c>
      <x:c r="I190" s="7" t="str">
        <x:v>Closed Won</x:v>
      </x:c>
      <x:c r="J190" s="29" t="n">
        <x:v>3060000</x:v>
      </x:c>
      <x:c r="K190" s="29" t="n">
        <x:v>3400000</x:v>
      </x:c>
      <x:c r="L190" s="28" t="n">
        <x:f>IFERROR(J190/K190,0)</x:f>
        <x:v>0.9</x:v>
      </x:c>
      <x:c r="M190" s="29" t="n">
        <x:f>J190-K190</x:f>
        <x:v>-340000</x:v>
      </x:c>
    </x:row>
    <x:row r="191">
      <x:c r="A191" s="27" t="n">
        <x:v>46203</x:v>
      </x:c>
      <x:c r="B191" s="7" t="str">
        <x:v>INV-1190</x:v>
      </x:c>
      <x:c r="C191" s="7" t="str">
        <x:v>Basic Analytics Pack</x:v>
      </x:c>
      <x:c r="D191" s="7" t="str">
        <x:v>Software</x:v>
      </x:c>
      <x:c r="E191" s="7" t="str">
        <x:v>Bali</x:v>
      </x:c>
      <x:c r="F191" s="7" t="str">
        <x:v>Sales Team</x:v>
      </x:c>
      <x:c r="G191" s="7" t="n">
        <x:v>1</x:v>
      </x:c>
      <x:c r="H191" s="28" t="n">
        <x:v>0.1</x:v>
      </x:c>
      <x:c r="I191" s="7" t="str">
        <x:v>Cancelled</x:v>
      </x:c>
      <x:c r="J191" s="29" t="n">
        <x:v>0</x:v>
      </x:c>
      <x:c r="K191" s="29" t="n">
        <x:v>1200000</x:v>
      </x:c>
      <x:c r="L191" s="28" t="n">
        <x:f>IFERROR(J191/K191,0)</x:f>
        <x:v>0</x:v>
      </x:c>
      <x:c r="M191" s="29" t="n">
        <x:f>J191-K191</x:f>
        <x:v>-1200000</x:v>
      </x:c>
    </x:row>
  </x:sheetData>
  <x:conditionalFormatting sqref="M2:M191">
    <x:cfRule type="cellIs" dxfId="0" priority="1" operator="lessThan">
      <x:formula>0</x:formula>
    </x:cfRule>
  </x:conditionalFormatting>
  <x:conditionalFormatting sqref="L2:L191">
    <x:cfRule type="dataBar" priority="2">
      <x:dataBar>
        <x:cfvo type="min"/>
        <x:cfvo type="max"/>
        <x:color rgb="16A34A"/>
      </x:dataBar>
      <x:extLst>
        <x:ext xmlns:x14="http://schemas.microsoft.com/office/spreadsheetml/2009/9/main" uri="{B025F937-C7B1-47D3-B67F-A62EFF666E3E}">
          <x14:id>{3E6C03CD-5191-78AC-737D-7CE312498B63}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a110d18d5a1445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E6C03CD-5191-78AC-737D-7CE312498B63}">
            <x14:dataBar gradient="1">
              <x14:cfvo type="min"/>
              <x14:cfvo type="max"/>
              <x14:fillColor rgb="16A34A"/>
            </x14:dataBar>
          </x14:cfRule>
          <xm:sqref>L2:L191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7.269999980926514" hidden="0" customWidth="1"/>
    <x:col min="3" max="3" width="12.920000076293945" hidden="0" customWidth="1"/>
    <x:col min="4" max="4" width="36.34000015258789" hidden="0" customWidth="1"/>
  </x:cols>
  <x:sheetData>
    <x:row r="1">
      <x:c r="A1" s="35" t="str">
        <x:v>Product</x:v>
      </x:c>
      <x:c r="B1" s="35" t="str">
        <x:v>Category</x:v>
      </x:c>
      <x:c r="C1" s="35" t="str">
        <x:v>Monthly_Target</x:v>
      </x:c>
      <x:c r="D1" s="35" t="str">
        <x:v>Notes</x:v>
      </x:c>
    </x:row>
    <x:row r="2">
      <x:c r="A2" t="str">
        <x:v>Basic Analytics Pack</x:v>
      </x:c>
      <x:c r="B2" t="str">
        <x:v>Software</x:v>
      </x:c>
      <x:c r="C2" s="24" t="n">
        <x:v>56400000</x:v>
      </x:c>
      <x:c r="D2" t="str">
        <x:v>Dummy monthly target for workshop analysis</x:v>
      </x:c>
    </x:row>
    <x:row r="3">
      <x:c r="A3" t="str">
        <x:v>Pro Dashboard Pack</x:v>
      </x:c>
      <x:c r="B3" t="str">
        <x:v>Software</x:v>
      </x:c>
      <x:c r="C3" s="24" t="n">
        <x:v>165000000</x:v>
      </x:c>
      <x:c r="D3" t="str">
        <x:v>Dummy monthly target for workshop analysis</x:v>
      </x:c>
    </x:row>
    <x:row r="4">
      <x:c r="A4" t="str">
        <x:v>AI Report Builder</x:v>
      </x:c>
      <x:c r="B4" t="str">
        <x:v>AI Tool</x:v>
      </x:c>
      <x:c r="C4" s="24" t="n">
        <x:v>155400000</x:v>
      </x:c>
      <x:c r="D4" t="str">
        <x:v>Dummy monthly target for workshop analysis</x:v>
      </x:c>
    </x:row>
    <x:row r="5">
      <x:c r="A5" t="str">
        <x:v>Data Training Seat</x:v>
      </x:c>
      <x:c r="B5" t="str">
        <x:v>Training</x:v>
      </x:c>
      <x:c r="C5" s="24" t="n">
        <x:v>90000000</x:v>
      </x:c>
      <x:c r="D5" t="str">
        <x:v>Dummy monthly target for workshop analysis</x:v>
      </x:c>
    </x:row>
    <x:row r="6">
      <x:c r="A6" t="str">
        <x:v>Premium Support</x:v>
      </x:c>
      <x:c r="B6" t="str">
        <x:v>Service</x:v>
      </x:c>
      <x:c r="C6" s="24" t="n">
        <x:v>166400000</x:v>
      </x:c>
      <x:c r="D6" t="str">
        <x:v>Dummy monthly target for workshop analysis</x:v>
      </x:c>
    </x:row>
    <x:row r="7">
      <x:c r="A7" t="str">
        <x:v>Consulting Hour</x:v>
      </x:c>
      <x:c r="B7" t="str">
        <x:v>Service</x:v>
      </x:c>
      <x:c r="C7" s="24" t="n">
        <x:v>39950000</x:v>
      </x:c>
      <x:c r="D7" t="str">
        <x:v>Dummy monthly target for workshop analysis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24.360000610351562" hidden="0" customWidth="1"/>
    <x:col min="3" max="3" width="31.6299991607666" hidden="0" customWidth="1"/>
  </x:cols>
  <x:sheetData>
    <x:row r="1">
      <x:c r="A1" s="38" t="str">
        <x:v>Column</x:v>
      </x:c>
      <x:c r="B1" s="38" t="str">
        <x:v>Meaning</x:v>
      </x:c>
      <x:c r="C1" s="38" t="str">
        <x:v>Suggested check</x:v>
      </x:c>
    </x:row>
    <x:row r="2">
      <x:c r="A2" s="7" t="str">
        <x:v>Date</x:v>
      </x:c>
      <x:c r="B2" s="7" t="str">
        <x:v>Transaction date</x:v>
      </x:c>
      <x:c r="C2" s="7" t="str">
        <x:v>Check monthly trend</x:v>
      </x:c>
    </x:row>
    <x:row r="3">
      <x:c r="A3" s="7" t="str">
        <x:v>Invoice_ID</x:v>
      </x:c>
      <x:c r="B3" s="7" t="str">
        <x:v>Invoice identifier</x:v>
      </x:c>
      <x:c r="C3" s="7" t="str">
        <x:v>Check duplicate invoice</x:v>
      </x:c>
    </x:row>
    <x:row r="4">
      <x:c r="A4" s="7" t="str">
        <x:v>Product</x:v>
      </x:c>
      <x:c r="B4" s="7" t="str">
        <x:v>Product or service sold</x:v>
      </x:c>
      <x:c r="C4" s="7" t="str">
        <x:v>Group by product</x:v>
      </x:c>
    </x:row>
    <x:row r="5">
      <x:c r="A5" s="7" t="str">
        <x:v>Category</x:v>
      </x:c>
      <x:c r="B5" s="7" t="str">
        <x:v>Product category</x:v>
      </x:c>
      <x:c r="C5" s="7" t="str">
        <x:v>Compare category performance</x:v>
      </x:c>
    </x:row>
    <x:row r="6">
      <x:c r="A6" s="7" t="str">
        <x:v>Region</x:v>
      </x:c>
      <x:c r="B6" s="7" t="str">
        <x:v>Sales region</x:v>
      </x:c>
      <x:c r="C6" s="7" t="str">
        <x:v>Compare region performance</x:v>
      </x:c>
    </x:row>
    <x:row r="7">
      <x:c r="A7" s="7" t="str">
        <x:v>Channel</x:v>
      </x:c>
      <x:c r="B7" s="7" t="str">
        <x:v>Sales channel</x:v>
      </x:c>
      <x:c r="C7" s="7" t="str">
        <x:v>Compare channel contribution</x:v>
      </x:c>
    </x:row>
    <x:row r="8">
      <x:c r="A8" s="7" t="str">
        <x:v>Units</x:v>
      </x:c>
      <x:c r="B8" s="7" t="str">
        <x:v>Number of units sold</x:v>
      </x:c>
      <x:c r="C8" s="7" t="str">
        <x:v>Check unusually high units</x:v>
      </x:c>
    </x:row>
    <x:row r="9">
      <x:c r="A9" s="7" t="str">
        <x:v>Discount</x:v>
      </x:c>
      <x:c r="B9" s="7" t="str">
        <x:v>Discount percentage</x:v>
      </x:c>
      <x:c r="C9" s="7" t="str">
        <x:v>Check high discount</x:v>
      </x:c>
    </x:row>
    <x:row r="10">
      <x:c r="A10" s="7" t="str">
        <x:v>Status</x:v>
      </x:c>
      <x:c r="B10" s="7" t="str">
        <x:v>Sales status</x:v>
      </x:c>
      <x:c r="C10" s="7" t="str">
        <x:v>Filter Closed Won vs Pending/Cancelled</x:v>
      </x:c>
    </x:row>
    <x:row r="11">
      <x:c r="A11" s="7" t="str">
        <x:v>Revenue</x:v>
      </x:c>
      <x:c r="B11" s="7" t="str">
        <x:v>Revenue amount in IDR</x:v>
      </x:c>
      <x:c r="C11" s="7" t="str">
        <x:v>Check missing/zero values</x:v>
      </x:c>
    </x:row>
    <x:row r="12">
      <x:c r="A12" s="7" t="str">
        <x:v>Target</x:v>
      </x:c>
      <x:c r="B12" s="7" t="str">
        <x:v>Expected target amount in IDR</x:v>
      </x:c>
      <x:c r="C12" s="7" t="str">
        <x:v>Compare against revenue</x:v>
      </x:c>
    </x:row>
    <x:row r="13">
      <x:c r="A13" s="7" t="str">
        <x:v>Achievement_%</x:v>
      </x:c>
      <x:c r="B13" s="7" t="str">
        <x:v>Revenue divided by target</x:v>
      </x:c>
      <x:c r="C13" s="7" t="str">
        <x:v>Find under-target rows</x:v>
      </x:c>
    </x:row>
    <x:row r="14">
      <x:c r="A14" s="7" t="str">
        <x:v>Variance</x:v>
      </x:c>
      <x:c r="B14" s="7" t="str">
        <x:v>Revenue minus target</x:v>
      </x:c>
      <x:c r="C14" s="7" t="str">
        <x:v>Find negative gap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6" t="str">
        <x:v>Cowork Prompt - Spreadsheet Demo</x:v>
      </x:c>
    </x:row>
    <x:row r="2">
      <x:c r="A2" s="7" t="str"/>
    </x:row>
    <x:row r="3">
      <x:c r="A3" s="8" t="str">
        <x:v>Gunakan prompt ini saat demo:</x:v>
      </x:c>
    </x:row>
    <x:row r="4">
      <x:c r="A4" s="7" t="str"/>
    </x:row>
    <x:row r="5">
      <x:c r="A5" s="7" t="str">
        <x:v>Bertindaklah sebagai business analyst. Review workbook ini untuk manager non-teknis. Fokus pada sheet Sales_Data dan Product_Targets.</x:v>
      </x:c>
    </x:row>
    <x:row r="6">
      <x:c r="A6" s="7" t="str">
        <x:v>Sebelum membuat atau mengubah file apa pun, tampilkan rencana analisis terlebih dahulu.</x:v>
      </x:c>
    </x:row>
    <x:row r="7">
      <x:c r="A7" s="7" t="str">
        <x:v>Setelah rencana disetujui, bantu buat:</x:v>
      </x:c>
    </x:row>
    <x:row r="8">
      <x:c r="A8" s="7" t="str">
        <x:v>1. ringkasan performa penjualan Juni 2026,</x:v>
      </x:c>
    </x:row>
    <x:row r="9">
      <x:c r="A9" s="7" t="str">
        <x:v>2. produk dengan revenue tertinggi dan terendah,</x:v>
      </x:c>
    </x:row>
    <x:row r="10">
      <x:c r="A10" s="7" t="str">
        <x:v>3. region dan channel dengan performa terbaik,</x:v>
      </x:c>
    </x:row>
    <x:row r="11">
      <x:c r="A11" s="7" t="str">
        <x:v>4. produk atau region yang berada di bawah target,</x:v>
      </x:c>
    </x:row>
    <x:row r="12">
      <x:c r="A12" s="7" t="str">
        <x:v>5. data quality issue seperti missing value, duplicate invoice, atau angka yang tidak biasa,</x:v>
      </x:c>
    </x:row>
    <x:row r="13">
      <x:c r="A13" s="7" t="str">
        <x:v>6. saran 3 chart untuk leadership update,</x:v>
      </x:c>
    </x:row>
    <x:row r="14">
      <x:c r="A14" s="7" t="str">
        <x:v>7. next step praktis untuk manager.</x:v>
      </x:c>
    </x:row>
    <x:row r="15">
      <x:c r="A15" s="7" t="str"/>
    </x:row>
    <x:row r="16">
      <x:c r="A16" s="7" t="str">
        <x:v>Jangan langsung mengubah workbook. Buat rencana dan daftar output terlebih dahulu.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1.18000030517578" hidden="0" customWidth="1"/>
    <x:col min="2" max="2" width="11.4399995803833" hidden="0" customWidth="1"/>
    <x:col min="3" max="3" width="9.960000038146973" hidden="0" customWidth="1"/>
    <x:col min="4" max="4" width="13.1899995803833" hidden="0" customWidth="1"/>
  </x:cols>
  <x:sheetData>
    <x:row r="1">
      <x:c r="A1" s="2" t="str">
        <x:v>Mini Dashboard (Demo Reference)</x:v>
      </x:c>
    </x:row>
    <x:row r="3">
      <x:c r="A3" s="13" t="str">
        <x:v>Product</x:v>
      </x:c>
      <x:c r="B3" s="13" t="str">
        <x:v>Total Revenue</x:v>
      </x:c>
      <x:c r="C3" s="13" t="str">
        <x:v>Total Target</x:v>
      </x:c>
      <x:c r="D3" s="13" t="str">
        <x:v>Achievement_%</x:v>
      </x:c>
    </x:row>
    <x:row r="4">
      <x:c r="A4" t="str">
        <x:v>Basic Analytics Pack</x:v>
      </x:c>
      <x:c r="B4" s="24" t="n">
        <x:f>SUMIF(Sales_Data!C:C,A4,Sales_Data!J:J)</x:f>
        <x:v>74846694</x:v>
      </x:c>
      <x:c r="C4" s="24" t="n">
        <x:f>SUMIF(Sales_Data!C:C,A4,Sales_Data!K:K)</x:f>
        <x:v>87600000</x:v>
      </x:c>
      <x:c r="D4" s="22" t="n">
        <x:f>IFERROR(B4/C4,0)</x:f>
        <x:v>0.8544143150684932</x:v>
      </x:c>
    </x:row>
    <x:row r="5">
      <x:c r="A5" t="str">
        <x:v>Pro Dashboard Pack</x:v>
      </x:c>
      <x:c r="B5" s="24" t="n">
        <x:f>SUMIF(Sales_Data!C:C,A5,Sales_Data!J:J)</x:f>
        <x:v>185413410</x:v>
      </x:c>
      <x:c r="C5" s="24" t="n">
        <x:f>SUMIF(Sales_Data!C:C,A5,Sales_Data!K:K)</x:f>
        <x:v>210000000</x:v>
      </x:c>
      <x:c r="D5" s="22" t="n">
        <x:f>IFERROR(B5/C5,0)</x:f>
        <x:v>0.882921</x:v>
      </x:c>
    </x:row>
    <x:row r="6">
      <x:c r="A6" t="str">
        <x:v>AI Report Builder</x:v>
      </x:c>
      <x:c r="B6" s="24" t="n">
        <x:f>SUMIF(Sales_Data!C:C,A6,Sales_Data!J:J)</x:f>
        <x:v>188786500</x:v>
      </x:c>
      <x:c r="C6" s="24" t="n">
        <x:f>SUMIF(Sales_Data!C:C,A6,Sales_Data!K:K)</x:f>
        <x:v>268800000</x:v>
      </x:c>
      <x:c r="D6" s="22" t="n">
        <x:f>IFERROR(B6/C6,0)</x:f>
        <x:v>0.7023307291666666</x:v>
      </x:c>
    </x:row>
    <x:row r="7">
      <x:c r="A7" t="str">
        <x:v>Data Training Seat</x:v>
      </x:c>
      <x:c r="B7" s="24" t="n">
        <x:f>SUMIF(Sales_Data!C:C,A7,Sales_Data!J:J)</x:f>
        <x:v>99700436</x:v>
      </x:c>
      <x:c r="C7" s="24" t="n">
        <x:f>SUMIF(Sales_Data!C:C,A7,Sales_Data!K:K)</x:f>
        <x:v>140000000</x:v>
      </x:c>
      <x:c r="D7" s="22" t="n">
        <x:f>IFERROR(B7/C7,0)</x:f>
        <x:v>0.7121459714285714</x:v>
      </x:c>
    </x:row>
    <x:row r="8">
      <x:c r="A8" t="str">
        <x:v>Premium Support</x:v>
      </x:c>
      <x:c r="B8" s="24" t="n">
        <x:f>SUMIF(Sales_Data!C:C,A8,Sales_Data!J:J)</x:f>
        <x:v>85410036</x:v>
      </x:c>
      <x:c r="C8" s="24" t="n">
        <x:f>SUMIF(Sales_Data!C:C,A8,Sales_Data!K:K)</x:f>
        <x:v>108800000</x:v>
      </x:c>
      <x:c r="D8" s="22" t="n">
        <x:f>IFERROR(B8/C8,0)</x:f>
        <x:v>0.7850187132352942</x:v>
      </x:c>
    </x:row>
    <x:row r="9">
      <x:c r="A9" t="str">
        <x:v>Consulting Hour</x:v>
      </x:c>
      <x:c r="B9" s="24" t="n">
        <x:f>SUMIF(Sales_Data!C:C,A9,Sales_Data!J:J)</x:f>
        <x:v>26341398</x:v>
      </x:c>
      <x:c r="C9" s="24" t="n">
        <x:f>SUMIF(Sales_Data!C:C,A9,Sales_Data!K:K)</x:f>
        <x:v>43350000</x:v>
      </x:c>
      <x:c r="D9" s="22" t="n">
        <x:f>IFERROR(B9/C9,0)</x:f>
        <x:v>0.607644705882353</x:v>
      </x:c>
    </x:row>
  </x:sheetData>
  <x:pageMargins left="0.7" right="0.7" top="0.75" bottom="0.75" header="0.3" footer="0.3"/>
  <x:drawing xmlns:r="http://schemas.openxmlformats.org/officeDocument/2006/relationships" r:id="R98cc269de7004451"/>
</x:worksheet>
</file>